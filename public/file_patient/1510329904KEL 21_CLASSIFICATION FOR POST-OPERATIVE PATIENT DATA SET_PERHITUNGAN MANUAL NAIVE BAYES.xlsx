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Kuliah\Semester 6\wk. sis ce\"/>
    </mc:Choice>
  </mc:AlternateContent>
  <bookViews>
    <workbookView xWindow="0" yWindow="0" windowWidth="20490" windowHeight="7755" activeTab="2"/>
  </bookViews>
  <sheets>
    <sheet name="DATA  TRAINING" sheetId="1" r:id="rId1"/>
    <sheet name="DATA TESTING" sheetId="2" r:id="rId2"/>
    <sheet name="PERHITUNGAN MANUAL" sheetId="3" r:id="rId3"/>
  </sheets>
  <definedNames>
    <definedName name="AKURASI">'PERHITUNGAN MANUAL'!$AD$7:$AD$15</definedName>
    <definedName name="BP_STBL">'DATA  TRAINING'!$G$2:$G$80</definedName>
    <definedName name="COMFORT">'DATA  TRAINING'!$H$2:$H$80</definedName>
    <definedName name="CORE_STBL">'DATA  TRAINING'!$F$2:$F$80</definedName>
    <definedName name="DECISION">'DATA  TRAINING'!$I$2:$I$80</definedName>
    <definedName name="LBP">'DATA  TRAINING'!$D$2:$D$80</definedName>
    <definedName name="LCORE">'DATA  TRAINING'!$A$2:$A$80</definedName>
    <definedName name="LO">'DATA  TRAINING'!$C$2:$C$80</definedName>
    <definedName name="LSURF">'DATA  TRAINING'!$B$2:$B$80</definedName>
    <definedName name="post_operative__1" localSheetId="0">'DATA  TRAINING'!$A$2:$I$80</definedName>
    <definedName name="SURF_STBL">'DATA  TRAINING'!$E$2:$E$80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5" i="3" l="1"/>
  <c r="AD8" i="3"/>
  <c r="AD9" i="3"/>
  <c r="AD10" i="3"/>
  <c r="AD11" i="3"/>
  <c r="AD12" i="3"/>
  <c r="AD13" i="3"/>
  <c r="AD14" i="3"/>
  <c r="AD7" i="3"/>
  <c r="X9" i="3"/>
  <c r="X8" i="3"/>
  <c r="X10" i="3" s="1"/>
  <c r="W9" i="3"/>
  <c r="W8" i="3"/>
  <c r="W10" i="3" s="1"/>
  <c r="X7" i="3"/>
  <c r="X12" i="3" s="1"/>
  <c r="W7" i="3"/>
  <c r="W15" i="3" s="1"/>
  <c r="V9" i="3"/>
  <c r="V10" i="3" s="1"/>
  <c r="U9" i="3"/>
  <c r="U10" i="3" s="1"/>
  <c r="V7" i="3"/>
  <c r="V14" i="3" s="1"/>
  <c r="U7" i="3"/>
  <c r="T9" i="3"/>
  <c r="T7" i="3"/>
  <c r="S7" i="3"/>
  <c r="R9" i="3"/>
  <c r="Q9" i="3"/>
  <c r="R7" i="3"/>
  <c r="R8" i="3" s="1"/>
  <c r="R10" i="3" s="1"/>
  <c r="Q7" i="3"/>
  <c r="Q8" i="3" s="1"/>
  <c r="P7" i="3"/>
  <c r="O7" i="3"/>
  <c r="L7" i="3"/>
  <c r="N7" i="3"/>
  <c r="N10" i="3" s="1"/>
  <c r="N13" i="3"/>
  <c r="N15" i="3" s="1"/>
  <c r="M13" i="3"/>
  <c r="M15" i="3" s="1"/>
  <c r="M7" i="3"/>
  <c r="M12" i="3" s="1"/>
  <c r="K8" i="3"/>
  <c r="K9" i="3"/>
  <c r="K10" i="3"/>
  <c r="K11" i="3"/>
  <c r="K12" i="3"/>
  <c r="K13" i="3"/>
  <c r="K14" i="3"/>
  <c r="K15" i="3"/>
  <c r="K7" i="3"/>
  <c r="J9" i="3"/>
  <c r="I9" i="3"/>
  <c r="J7" i="3"/>
  <c r="J10" i="3" s="1"/>
  <c r="I7" i="3"/>
  <c r="I15" i="3" s="1"/>
  <c r="F3" i="3"/>
  <c r="C2" i="3" s="1"/>
  <c r="R13" i="3" l="1"/>
  <c r="R14" i="3"/>
  <c r="R15" i="3"/>
  <c r="U14" i="3"/>
  <c r="U15" i="3"/>
  <c r="T13" i="3"/>
  <c r="T12" i="3"/>
  <c r="T10" i="3"/>
  <c r="Z10" i="3" s="1"/>
  <c r="T15" i="3"/>
  <c r="T11" i="3"/>
  <c r="T14" i="3"/>
  <c r="Z7" i="3"/>
  <c r="P8" i="3"/>
  <c r="P15" i="3"/>
  <c r="P11" i="3"/>
  <c r="P14" i="3"/>
  <c r="P10" i="3"/>
  <c r="P13" i="3"/>
  <c r="P9" i="3"/>
  <c r="P12" i="3"/>
  <c r="S8" i="3"/>
  <c r="S15" i="3"/>
  <c r="S11" i="3"/>
  <c r="S14" i="3"/>
  <c r="S10" i="3"/>
  <c r="S13" i="3"/>
  <c r="S9" i="3"/>
  <c r="S12" i="3"/>
  <c r="L8" i="3"/>
  <c r="L13" i="3"/>
  <c r="L9" i="3"/>
  <c r="L12" i="3"/>
  <c r="L10" i="3"/>
  <c r="L15" i="3"/>
  <c r="L11" i="3"/>
  <c r="L14" i="3"/>
  <c r="N8" i="3"/>
  <c r="O8" i="3"/>
  <c r="O14" i="3"/>
  <c r="O10" i="3"/>
  <c r="O13" i="3"/>
  <c r="O9" i="3"/>
  <c r="O15" i="3"/>
  <c r="O12" i="3"/>
  <c r="O11" i="3"/>
  <c r="Q11" i="3"/>
  <c r="Q15" i="3"/>
  <c r="Q14" i="3"/>
  <c r="Q13" i="3"/>
  <c r="T8" i="3"/>
  <c r="W12" i="3"/>
  <c r="D20" i="3"/>
  <c r="R12" i="3"/>
  <c r="X15" i="3"/>
  <c r="M8" i="3"/>
  <c r="N9" i="3"/>
  <c r="Q12" i="3"/>
  <c r="U12" i="3"/>
  <c r="W13" i="3"/>
  <c r="M9" i="3"/>
  <c r="N12" i="3"/>
  <c r="Q10" i="3"/>
  <c r="N14" i="3"/>
  <c r="R11" i="3"/>
  <c r="M10" i="3"/>
  <c r="M14" i="3"/>
  <c r="N11" i="3"/>
  <c r="U8" i="3"/>
  <c r="V11" i="3"/>
  <c r="X13" i="3"/>
  <c r="V12" i="3"/>
  <c r="V15" i="3"/>
  <c r="I10" i="3"/>
  <c r="I12" i="3"/>
  <c r="I14" i="3"/>
  <c r="M11" i="3"/>
  <c r="V8" i="3"/>
  <c r="U13" i="3"/>
  <c r="V13" i="3"/>
  <c r="I8" i="3"/>
  <c r="I11" i="3"/>
  <c r="I13" i="3"/>
  <c r="U11" i="3"/>
  <c r="X11" i="3"/>
  <c r="X14" i="3"/>
  <c r="W14" i="3"/>
  <c r="W11" i="3"/>
  <c r="J11" i="3"/>
  <c r="Z11" i="3" s="1"/>
  <c r="J15" i="3"/>
  <c r="J12" i="3"/>
  <c r="J14" i="3"/>
  <c r="J8" i="3"/>
  <c r="Z8" i="3" s="1"/>
  <c r="J13" i="3"/>
  <c r="C1" i="3"/>
  <c r="Y13" i="3" s="1"/>
  <c r="Y11" i="3" l="1"/>
  <c r="Z12" i="3"/>
  <c r="Y12" i="3"/>
  <c r="Z9" i="3"/>
  <c r="Z15" i="3"/>
  <c r="Y14" i="3"/>
  <c r="Y7" i="3"/>
  <c r="AA7" i="3" s="1"/>
  <c r="Y9" i="3"/>
  <c r="AA9" i="3" s="1"/>
  <c r="Y8" i="3"/>
  <c r="AA8" i="3" s="1"/>
  <c r="Y10" i="3"/>
  <c r="AA10" i="3" s="1"/>
  <c r="Y15" i="3"/>
  <c r="Z14" i="3"/>
  <c r="AA14" i="3" s="1"/>
  <c r="Z13" i="3"/>
  <c r="AA11" i="3"/>
  <c r="AA15" i="3"/>
  <c r="AA13" i="3"/>
  <c r="AA12" i="3"/>
</calcChain>
</file>

<file path=xl/connections.xml><?xml version="1.0" encoding="utf-8"?>
<connections xmlns="http://schemas.openxmlformats.org/spreadsheetml/2006/main">
  <connection id="1" name="post-operative (1)" type="6" refreshedVersion="5" background="1" saveData="1">
    <textPr codePage="437" sourceFile="C:\Users\ASUS\Downloads\post-operative (1).csv" decimal="," thousands=".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<sst xmlns="http://schemas.openxmlformats.org/spreadsheetml/2006/main" count="876" uniqueCount="83">
  <si>
    <t>mid</t>
  </si>
  <si>
    <t>low</t>
  </si>
  <si>
    <t>excellent</t>
  </si>
  <si>
    <t>stable</t>
  </si>
  <si>
    <t>A</t>
  </si>
  <si>
    <t>high</t>
  </si>
  <si>
    <t>S</t>
  </si>
  <si>
    <t>mod-stable</t>
  </si>
  <si>
    <t>good</t>
  </si>
  <si>
    <t>unstable</t>
  </si>
  <si>
    <t xml:space="preserve">A </t>
  </si>
  <si>
    <t>?</t>
  </si>
  <si>
    <t>L-CORE</t>
  </si>
  <si>
    <t>L-SURF</t>
  </si>
  <si>
    <t>L-O2</t>
  </si>
  <si>
    <t>L-BP</t>
  </si>
  <si>
    <t>SURF-STBL</t>
  </si>
  <si>
    <t>CORE-STBL</t>
  </si>
  <si>
    <t>BP-STBL</t>
  </si>
  <si>
    <t>COMFORT</t>
  </si>
  <si>
    <t>DECISION</t>
  </si>
  <si>
    <t>JUMLAH A</t>
  </si>
  <si>
    <t>JUMLAH S</t>
  </si>
  <si>
    <t>TOTAL</t>
  </si>
  <si>
    <t>PROBABILITAS L-CORE TERHADAP DECISION "A"</t>
  </si>
  <si>
    <t>PROBABILITAS L-CORE TERHADAP DECISION "S"</t>
  </si>
  <si>
    <t>PROBABILITAS L-SURF TERHADAP DECISION "A"</t>
  </si>
  <si>
    <t>PROBABILITAS L-SURF TERHADAP DECISION "S"</t>
  </si>
  <si>
    <t>PROBABILITAS L-O2 TERHADAP DECISION "A"</t>
  </si>
  <si>
    <t>PROBABILITAS L-O2 TERHADAP DECISION "S"</t>
  </si>
  <si>
    <t>PROBABILITAS L-BP TERHADAP DECISION "A"</t>
  </si>
  <si>
    <t>PROBABILITAS L-BP TERHADAP DECISION "S"</t>
  </si>
  <si>
    <t>PROBABILITAS SURF-STBL TERHADAP DECISION "A"</t>
  </si>
  <si>
    <t>PROBABILITAS SURF-STBL TERHADAP DECISION "S"</t>
  </si>
  <si>
    <t>PROBABILITAS CORE-STBL TERHADAP DECISION "A"</t>
  </si>
  <si>
    <t>PROBABILITAS CORE-STBL TERHADAP DECISION "S"</t>
  </si>
  <si>
    <t>PROBABILITAS BP-STBL TERHADAP DECISION "A"</t>
  </si>
  <si>
    <t>PROBABILITAS BP-STBL TERHADAP DECISION "S"</t>
  </si>
  <si>
    <t>PROBABILITAS COMFORT TERHADAP DECISION "A"</t>
  </si>
  <si>
    <t>PROBABILITAS COMFORT TERHADAP DECISION "S"</t>
  </si>
  <si>
    <t>TOTAL PROBABILITAS A</t>
  </si>
  <si>
    <t>TOTAL PROBABILITAS S</t>
  </si>
  <si>
    <t>SEHARUSNYA</t>
  </si>
  <si>
    <t>AKURASI</t>
  </si>
  <si>
    <t>KESIMPULAN</t>
  </si>
  <si>
    <t>Atau dengan akurasi sebesar</t>
  </si>
  <si>
    <t>Berdasarkan perhitungan tersebut, dari 9 data testing menghasilkan 5 data sesuai dan 4 data tidak sesuai.</t>
  </si>
  <si>
    <t>P(L-CORE|A)</t>
  </si>
  <si>
    <t>P(L-CORE|S)</t>
  </si>
  <si>
    <t>P(L-SURF|A)</t>
  </si>
  <si>
    <t>P(L-SURF|S)</t>
  </si>
  <si>
    <t>P(L-O2|A)</t>
  </si>
  <si>
    <t>P(L-O2|S)</t>
  </si>
  <si>
    <t>P(L-BP|A)</t>
  </si>
  <si>
    <t>P(CORE-STBL|S)</t>
  </si>
  <si>
    <t>P(SURF-STBL|A)</t>
  </si>
  <si>
    <t>P(SURF-STBL|S)</t>
  </si>
  <si>
    <t>P(CORE-STBL|A)</t>
  </si>
  <si>
    <t>P(BP-STBL|A)</t>
  </si>
  <si>
    <t>P(BP-STBL|S)</t>
  </si>
  <si>
    <t>P(COMFORT|A)</t>
  </si>
  <si>
    <t>P(COMFORT|S)</t>
  </si>
  <si>
    <t>P(L-BP|S)</t>
  </si>
  <si>
    <t>Keterangan :</t>
  </si>
  <si>
    <t>Warna</t>
  </si>
  <si>
    <t>Keterangan</t>
  </si>
  <si>
    <t>Probabilitas class A dan S pada data training</t>
  </si>
  <si>
    <t>Jumlah data A dan S pada data trainng ( di kolom DECISION )</t>
  </si>
  <si>
    <t>Jumlah data training keseluruhan</t>
  </si>
  <si>
    <t>No</t>
  </si>
  <si>
    <t>Total probabilitas class A ( Hasil perkalian dari warna nomor 4 dengan Probabilitas class A )</t>
  </si>
  <si>
    <t>PROBABILITAS CLASS A ( P( DECISION = A ))</t>
  </si>
  <si>
    <t>PROBABILITAS CLASS S ( P(DECISION = S ))</t>
  </si>
  <si>
    <t>Total probabilitas class S ( Hasil perkalian dari warna nomor 5 dengan Probabilitas class S )</t>
  </si>
  <si>
    <t>Nilai seharusnya ( Nilai yang seharusnya dihasilkan pada warna nomor 8, apakah sesuai atau tidak )</t>
  </si>
  <si>
    <t>Akurasi ( Hasil perbandingan warna nomor 8 dan 9, jika sesuai maka bernilai TRUE, jika tidak maka bernilai FALSE )</t>
  </si>
  <si>
    <t>Akurasi TRUE ( Hasil perbandingan nilai warna 8 dan 9 adalah sama atau sesuai )</t>
  </si>
  <si>
    <t>Akurasi FALSE ( Hasil perbandingan nilai warna 8 dan 9 adalah tidak sama atau tidak sesuai )</t>
  </si>
  <si>
    <t>Persentase dari nilai akurasi TRUE terhadap keseluruhan data testing</t>
  </si>
  <si>
    <t>Atribut dan nilai data testing yang akan diuji</t>
  </si>
  <si>
    <t>Probabilitas nilai atribut data testing terhadap class A (pada kolom DECISION), Misalnya P=(L-CORE|A)</t>
  </si>
  <si>
    <t>Probabilitas nilai atribut data testing terhadap class S (pada kolom DECISION), Misalnya P=(L-CORE|S)</t>
  </si>
  <si>
    <t>Decision atau keputusan ( Hasil perbandingan dari warna nomor 6 dan 7, diambil nilai maximumnya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</si>
</sst>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0.000000000"/>
  </numFmts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9F70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2" fillId="4" borderId="1" xfId="0" applyFont="1" applyFill="1" applyBorder="1"/>
    <xf numFmtId="0" fontId="3" fillId="8" borderId="1" xfId="0" applyFont="1" applyFill="1" applyBorder="1"/>
    <xf numFmtId="0" fontId="2" fillId="0" borderId="1" xfId="0" applyFont="1" applyBorder="1" applyAlignment="1">
      <alignment horizontal="center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171" fontId="2" fillId="5" borderId="1" xfId="0" applyNumberFormat="1" applyFont="1" applyFill="1" applyBorder="1"/>
    <xf numFmtId="0" fontId="4" fillId="6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3" fillId="10" borderId="5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3" borderId="7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4" fillId="2" borderId="4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wrapText="1"/>
    </xf>
    <xf numFmtId="0" fontId="3" fillId="2" borderId="7" xfId="0" applyFont="1" applyFill="1" applyBorder="1"/>
    <xf numFmtId="0" fontId="3" fillId="10" borderId="4" xfId="0" applyFont="1" applyFill="1" applyBorder="1" applyAlignment="1">
      <alignment horizontal="center" vertical="center"/>
    </xf>
    <xf numFmtId="0" fontId="2" fillId="7" borderId="0" xfId="0" applyFont="1" applyFill="1"/>
    <xf numFmtId="0" fontId="2" fillId="8" borderId="0" xfId="0" applyFont="1" applyFill="1"/>
    <xf numFmtId="0" fontId="2" fillId="6" borderId="0" xfId="0" applyFont="1" applyFill="1"/>
    <xf numFmtId="0" fontId="2" fillId="12" borderId="0" xfId="0" applyFont="1" applyFill="1"/>
    <xf numFmtId="0" fontId="2" fillId="4" borderId="0" xfId="0" applyFont="1" applyFill="1"/>
    <xf numFmtId="0" fontId="3" fillId="3" borderId="1" xfId="0" applyFont="1" applyFill="1" applyBorder="1"/>
    <xf numFmtId="0" fontId="3" fillId="15" borderId="1" xfId="0" applyFont="1" applyFill="1" applyBorder="1" applyAlignment="1">
      <alignment horizontal="center" vertical="center" wrapText="1"/>
    </xf>
    <xf numFmtId="9" fontId="3" fillId="14" borderId="3" xfId="1" applyFont="1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0" borderId="1" xfId="0" applyFont="1" applyBorder="1" applyAlignment="1"/>
    <xf numFmtId="0" fontId="2" fillId="10" borderId="1" xfId="0" applyFont="1" applyFill="1" applyBorder="1"/>
    <xf numFmtId="0" fontId="2" fillId="13" borderId="1" xfId="0" applyFont="1" applyFill="1" applyBorder="1"/>
    <xf numFmtId="0" fontId="2" fillId="12" borderId="1" xfId="0" applyFont="1" applyFill="1" applyBorder="1"/>
    <xf numFmtId="0" fontId="2" fillId="8" borderId="1" xfId="0" applyFont="1" applyFill="1" applyBorder="1"/>
    <xf numFmtId="0" fontId="2" fillId="3" borderId="1" xfId="0" applyFont="1" applyFill="1" applyBorder="1"/>
    <xf numFmtId="0" fontId="2" fillId="7" borderId="1" xfId="0" applyFont="1" applyFill="1" applyBorder="1"/>
    <xf numFmtId="0" fontId="2" fillId="6" borderId="1" xfId="0" applyFont="1" applyFill="1" applyBorder="1"/>
    <xf numFmtId="0" fontId="2" fillId="15" borderId="1" xfId="0" applyFont="1" applyFill="1" applyBorder="1"/>
    <xf numFmtId="0" fontId="2" fillId="11" borderId="1" xfId="0" applyFont="1" applyFill="1" applyBorder="1"/>
    <xf numFmtId="0" fontId="2" fillId="9" borderId="1" xfId="0" applyFont="1" applyFill="1" applyBorder="1"/>
    <xf numFmtId="0" fontId="2" fillId="14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9F7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post-operative (1)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workbookViewId="0">
      <selection activeCell="K9" sqref="K9"/>
    </sheetView>
  </sheetViews>
  <sheetFormatPr defaultRowHeight="15.75" x14ac:dyDescent="0.25"/>
  <cols>
    <col min="1" max="7" width="12.5703125" style="1" customWidth="1"/>
    <col min="8" max="9" width="12.5703125" style="25" customWidth="1"/>
    <col min="10" max="16384" width="9.140625" style="1"/>
  </cols>
  <sheetData>
    <row r="1" spans="1:9" ht="31.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2" t="s">
        <v>20</v>
      </c>
    </row>
    <row r="2" spans="1:9" x14ac:dyDescent="0.25">
      <c r="A2" s="3" t="s">
        <v>0</v>
      </c>
      <c r="B2" s="3" t="s">
        <v>1</v>
      </c>
      <c r="C2" s="3" t="s">
        <v>2</v>
      </c>
      <c r="D2" s="3" t="s">
        <v>0</v>
      </c>
      <c r="E2" s="3" t="s">
        <v>3</v>
      </c>
      <c r="F2" s="3" t="s">
        <v>3</v>
      </c>
      <c r="G2" s="3" t="s">
        <v>3</v>
      </c>
      <c r="H2" s="11">
        <v>15</v>
      </c>
      <c r="I2" s="11" t="s">
        <v>4</v>
      </c>
    </row>
    <row r="3" spans="1:9" x14ac:dyDescent="0.25">
      <c r="A3" s="3" t="s">
        <v>0</v>
      </c>
      <c r="B3" s="3" t="s">
        <v>5</v>
      </c>
      <c r="C3" s="3" t="s">
        <v>2</v>
      </c>
      <c r="D3" s="3" t="s">
        <v>5</v>
      </c>
      <c r="E3" s="3" t="s">
        <v>3</v>
      </c>
      <c r="F3" s="3" t="s">
        <v>3</v>
      </c>
      <c r="G3" s="3" t="s">
        <v>3</v>
      </c>
      <c r="H3" s="11">
        <v>10</v>
      </c>
      <c r="I3" s="11" t="s">
        <v>6</v>
      </c>
    </row>
    <row r="4" spans="1:9" x14ac:dyDescent="0.25">
      <c r="A4" s="3" t="s">
        <v>5</v>
      </c>
      <c r="B4" s="3" t="s">
        <v>1</v>
      </c>
      <c r="C4" s="3" t="s">
        <v>2</v>
      </c>
      <c r="D4" s="3" t="s">
        <v>5</v>
      </c>
      <c r="E4" s="3" t="s">
        <v>3</v>
      </c>
      <c r="F4" s="3" t="s">
        <v>3</v>
      </c>
      <c r="G4" s="3" t="s">
        <v>7</v>
      </c>
      <c r="H4" s="11">
        <v>10</v>
      </c>
      <c r="I4" s="11" t="s">
        <v>4</v>
      </c>
    </row>
    <row r="5" spans="1:9" x14ac:dyDescent="0.25">
      <c r="A5" s="3" t="s">
        <v>0</v>
      </c>
      <c r="B5" s="3" t="s">
        <v>1</v>
      </c>
      <c r="C5" s="3" t="s">
        <v>8</v>
      </c>
      <c r="D5" s="3" t="s">
        <v>5</v>
      </c>
      <c r="E5" s="3" t="s">
        <v>3</v>
      </c>
      <c r="F5" s="3" t="s">
        <v>9</v>
      </c>
      <c r="G5" s="3" t="s">
        <v>7</v>
      </c>
      <c r="H5" s="11">
        <v>15</v>
      </c>
      <c r="I5" s="11" t="s">
        <v>10</v>
      </c>
    </row>
    <row r="6" spans="1:9" x14ac:dyDescent="0.25">
      <c r="A6" s="3" t="s">
        <v>0</v>
      </c>
      <c r="B6" s="3" t="s">
        <v>0</v>
      </c>
      <c r="C6" s="3" t="s">
        <v>2</v>
      </c>
      <c r="D6" s="3" t="s">
        <v>5</v>
      </c>
      <c r="E6" s="3" t="s">
        <v>3</v>
      </c>
      <c r="F6" s="3" t="s">
        <v>3</v>
      </c>
      <c r="G6" s="3" t="s">
        <v>3</v>
      </c>
      <c r="H6" s="11">
        <v>10</v>
      </c>
      <c r="I6" s="11" t="s">
        <v>4</v>
      </c>
    </row>
    <row r="7" spans="1:9" x14ac:dyDescent="0.25">
      <c r="A7" s="3" t="s">
        <v>5</v>
      </c>
      <c r="B7" s="3" t="s">
        <v>1</v>
      </c>
      <c r="C7" s="3" t="s">
        <v>8</v>
      </c>
      <c r="D7" s="3" t="s">
        <v>0</v>
      </c>
      <c r="E7" s="3" t="s">
        <v>3</v>
      </c>
      <c r="F7" s="3" t="s">
        <v>3</v>
      </c>
      <c r="G7" s="3" t="s">
        <v>9</v>
      </c>
      <c r="H7" s="11">
        <v>15</v>
      </c>
      <c r="I7" s="11" t="s">
        <v>6</v>
      </c>
    </row>
    <row r="8" spans="1:9" x14ac:dyDescent="0.25">
      <c r="A8" s="3" t="s">
        <v>0</v>
      </c>
      <c r="B8" s="3" t="s">
        <v>1</v>
      </c>
      <c r="C8" s="3" t="s">
        <v>2</v>
      </c>
      <c r="D8" s="3" t="s">
        <v>5</v>
      </c>
      <c r="E8" s="3" t="s">
        <v>3</v>
      </c>
      <c r="F8" s="3" t="s">
        <v>3</v>
      </c>
      <c r="G8" s="3" t="s">
        <v>7</v>
      </c>
      <c r="H8" s="11">
        <v>5</v>
      </c>
      <c r="I8" s="11" t="s">
        <v>6</v>
      </c>
    </row>
    <row r="9" spans="1:9" x14ac:dyDescent="0.25">
      <c r="A9" s="3" t="s">
        <v>5</v>
      </c>
      <c r="B9" s="3" t="s">
        <v>0</v>
      </c>
      <c r="C9" s="3" t="s">
        <v>2</v>
      </c>
      <c r="D9" s="3" t="s">
        <v>0</v>
      </c>
      <c r="E9" s="3" t="s">
        <v>9</v>
      </c>
      <c r="F9" s="3" t="s">
        <v>9</v>
      </c>
      <c r="G9" s="3" t="s">
        <v>3</v>
      </c>
      <c r="H9" s="11">
        <v>10</v>
      </c>
      <c r="I9" s="11" t="s">
        <v>6</v>
      </c>
    </row>
    <row r="10" spans="1:9" x14ac:dyDescent="0.25">
      <c r="A10" s="3" t="s">
        <v>0</v>
      </c>
      <c r="B10" s="3" t="s">
        <v>5</v>
      </c>
      <c r="C10" s="3" t="s">
        <v>8</v>
      </c>
      <c r="D10" s="3" t="s">
        <v>0</v>
      </c>
      <c r="E10" s="3" t="s">
        <v>3</v>
      </c>
      <c r="F10" s="3" t="s">
        <v>3</v>
      </c>
      <c r="G10" s="3" t="s">
        <v>3</v>
      </c>
      <c r="H10" s="11">
        <v>10</v>
      </c>
      <c r="I10" s="11" t="s">
        <v>6</v>
      </c>
    </row>
    <row r="11" spans="1:9" x14ac:dyDescent="0.25">
      <c r="A11" s="3" t="s">
        <v>0</v>
      </c>
      <c r="B11" s="3" t="s">
        <v>1</v>
      </c>
      <c r="C11" s="3" t="s">
        <v>2</v>
      </c>
      <c r="D11" s="3" t="s">
        <v>0</v>
      </c>
      <c r="E11" s="3" t="s">
        <v>9</v>
      </c>
      <c r="F11" s="3" t="s">
        <v>3</v>
      </c>
      <c r="G11" s="3" t="s">
        <v>7</v>
      </c>
      <c r="H11" s="11">
        <v>10</v>
      </c>
      <c r="I11" s="11" t="s">
        <v>6</v>
      </c>
    </row>
    <row r="12" spans="1:9" x14ac:dyDescent="0.25">
      <c r="A12" s="3" t="s">
        <v>0</v>
      </c>
      <c r="B12" s="3" t="s">
        <v>0</v>
      </c>
      <c r="C12" s="3" t="s">
        <v>8</v>
      </c>
      <c r="D12" s="3" t="s">
        <v>0</v>
      </c>
      <c r="E12" s="3" t="s">
        <v>3</v>
      </c>
      <c r="F12" s="3" t="s">
        <v>3</v>
      </c>
      <c r="G12" s="3" t="s">
        <v>3</v>
      </c>
      <c r="H12" s="11">
        <v>15</v>
      </c>
      <c r="I12" s="11" t="s">
        <v>4</v>
      </c>
    </row>
    <row r="13" spans="1:9" x14ac:dyDescent="0.25">
      <c r="A13" s="3" t="s">
        <v>0</v>
      </c>
      <c r="B13" s="3" t="s">
        <v>1</v>
      </c>
      <c r="C13" s="3" t="s">
        <v>8</v>
      </c>
      <c r="D13" s="3" t="s">
        <v>5</v>
      </c>
      <c r="E13" s="3" t="s">
        <v>3</v>
      </c>
      <c r="F13" s="3" t="s">
        <v>3</v>
      </c>
      <c r="G13" s="3" t="s">
        <v>7</v>
      </c>
      <c r="H13" s="11">
        <v>10</v>
      </c>
      <c r="I13" s="11" t="s">
        <v>4</v>
      </c>
    </row>
    <row r="14" spans="1:9" x14ac:dyDescent="0.25">
      <c r="A14" s="3" t="s">
        <v>5</v>
      </c>
      <c r="B14" s="3" t="s">
        <v>5</v>
      </c>
      <c r="C14" s="3" t="s">
        <v>2</v>
      </c>
      <c r="D14" s="3" t="s">
        <v>5</v>
      </c>
      <c r="E14" s="3" t="s">
        <v>9</v>
      </c>
      <c r="F14" s="3" t="s">
        <v>3</v>
      </c>
      <c r="G14" s="3" t="s">
        <v>9</v>
      </c>
      <c r="H14" s="11">
        <v>15</v>
      </c>
      <c r="I14" s="11" t="s">
        <v>4</v>
      </c>
    </row>
    <row r="15" spans="1:9" x14ac:dyDescent="0.25">
      <c r="A15" s="3" t="s">
        <v>0</v>
      </c>
      <c r="B15" s="3" t="s">
        <v>5</v>
      </c>
      <c r="C15" s="3" t="s">
        <v>8</v>
      </c>
      <c r="D15" s="3" t="s">
        <v>0</v>
      </c>
      <c r="E15" s="3" t="s">
        <v>9</v>
      </c>
      <c r="F15" s="3" t="s">
        <v>3</v>
      </c>
      <c r="G15" s="3" t="s">
        <v>7</v>
      </c>
      <c r="H15" s="11">
        <v>10</v>
      </c>
      <c r="I15" s="11" t="s">
        <v>4</v>
      </c>
    </row>
    <row r="16" spans="1:9" x14ac:dyDescent="0.25">
      <c r="A16" s="3" t="s">
        <v>0</v>
      </c>
      <c r="B16" s="3" t="s">
        <v>1</v>
      </c>
      <c r="C16" s="3" t="s">
        <v>8</v>
      </c>
      <c r="D16" s="3" t="s">
        <v>5</v>
      </c>
      <c r="E16" s="3" t="s">
        <v>9</v>
      </c>
      <c r="F16" s="3" t="s">
        <v>9</v>
      </c>
      <c r="G16" s="3" t="s">
        <v>3</v>
      </c>
      <c r="H16" s="11">
        <v>15</v>
      </c>
      <c r="I16" s="11" t="s">
        <v>6</v>
      </c>
    </row>
    <row r="17" spans="1:9" x14ac:dyDescent="0.25">
      <c r="A17" s="3" t="s">
        <v>5</v>
      </c>
      <c r="B17" s="3" t="s">
        <v>5</v>
      </c>
      <c r="C17" s="3" t="s">
        <v>2</v>
      </c>
      <c r="D17" s="3" t="s">
        <v>5</v>
      </c>
      <c r="E17" s="3" t="s">
        <v>9</v>
      </c>
      <c r="F17" s="3" t="s">
        <v>3</v>
      </c>
      <c r="G17" s="3" t="s">
        <v>9</v>
      </c>
      <c r="H17" s="11">
        <v>10</v>
      </c>
      <c r="I17" s="11" t="s">
        <v>4</v>
      </c>
    </row>
    <row r="18" spans="1:9" x14ac:dyDescent="0.25">
      <c r="A18" s="3" t="s">
        <v>1</v>
      </c>
      <c r="B18" s="3" t="s">
        <v>5</v>
      </c>
      <c r="C18" s="3" t="s">
        <v>8</v>
      </c>
      <c r="D18" s="3" t="s">
        <v>5</v>
      </c>
      <c r="E18" s="3" t="s">
        <v>9</v>
      </c>
      <c r="F18" s="3" t="s">
        <v>3</v>
      </c>
      <c r="G18" s="3" t="s">
        <v>7</v>
      </c>
      <c r="H18" s="11">
        <v>15</v>
      </c>
      <c r="I18" s="11" t="s">
        <v>4</v>
      </c>
    </row>
    <row r="19" spans="1:9" x14ac:dyDescent="0.25">
      <c r="A19" s="3" t="s">
        <v>0</v>
      </c>
      <c r="B19" s="3" t="s">
        <v>1</v>
      </c>
      <c r="C19" s="3" t="s">
        <v>8</v>
      </c>
      <c r="D19" s="3" t="s">
        <v>5</v>
      </c>
      <c r="E19" s="3" t="s">
        <v>9</v>
      </c>
      <c r="F19" s="3" t="s">
        <v>3</v>
      </c>
      <c r="G19" s="3" t="s">
        <v>3</v>
      </c>
      <c r="H19" s="11">
        <v>10</v>
      </c>
      <c r="I19" s="11" t="s">
        <v>4</v>
      </c>
    </row>
    <row r="20" spans="1:9" x14ac:dyDescent="0.25">
      <c r="A20" s="3" t="s">
        <v>0</v>
      </c>
      <c r="B20" s="3" t="s">
        <v>5</v>
      </c>
      <c r="C20" s="3" t="s">
        <v>8</v>
      </c>
      <c r="D20" s="3" t="s">
        <v>0</v>
      </c>
      <c r="E20" s="3" t="s">
        <v>9</v>
      </c>
      <c r="F20" s="3" t="s">
        <v>3</v>
      </c>
      <c r="G20" s="3" t="s">
        <v>9</v>
      </c>
      <c r="H20" s="11">
        <v>15</v>
      </c>
      <c r="I20" s="11" t="s">
        <v>4</v>
      </c>
    </row>
    <row r="21" spans="1:9" x14ac:dyDescent="0.25">
      <c r="A21" s="3" t="s">
        <v>0</v>
      </c>
      <c r="B21" s="3" t="s">
        <v>0</v>
      </c>
      <c r="C21" s="3" t="s">
        <v>8</v>
      </c>
      <c r="D21" s="3" t="s">
        <v>0</v>
      </c>
      <c r="E21" s="3" t="s">
        <v>3</v>
      </c>
      <c r="F21" s="3" t="s">
        <v>3</v>
      </c>
      <c r="G21" s="3" t="s">
        <v>3</v>
      </c>
      <c r="H21" s="11">
        <v>10</v>
      </c>
      <c r="I21" s="11" t="s">
        <v>4</v>
      </c>
    </row>
    <row r="22" spans="1:9" x14ac:dyDescent="0.25">
      <c r="A22" s="3" t="s">
        <v>1</v>
      </c>
      <c r="B22" s="3" t="s">
        <v>5</v>
      </c>
      <c r="C22" s="3" t="s">
        <v>8</v>
      </c>
      <c r="D22" s="3" t="s">
        <v>0</v>
      </c>
      <c r="E22" s="3" t="s">
        <v>9</v>
      </c>
      <c r="F22" s="3" t="s">
        <v>3</v>
      </c>
      <c r="G22" s="3" t="s">
        <v>3</v>
      </c>
      <c r="H22" s="11">
        <v>15</v>
      </c>
      <c r="I22" s="11" t="s">
        <v>4</v>
      </c>
    </row>
    <row r="23" spans="1:9" x14ac:dyDescent="0.25">
      <c r="A23" s="3" t="s">
        <v>1</v>
      </c>
      <c r="B23" s="3" t="s">
        <v>0</v>
      </c>
      <c r="C23" s="3" t="s">
        <v>2</v>
      </c>
      <c r="D23" s="3" t="s">
        <v>5</v>
      </c>
      <c r="E23" s="3" t="s">
        <v>9</v>
      </c>
      <c r="F23" s="3" t="s">
        <v>3</v>
      </c>
      <c r="G23" s="3" t="s">
        <v>9</v>
      </c>
      <c r="H23" s="11">
        <v>10</v>
      </c>
      <c r="I23" s="11" t="s">
        <v>6</v>
      </c>
    </row>
    <row r="24" spans="1:9" x14ac:dyDescent="0.25">
      <c r="A24" s="3" t="s">
        <v>0</v>
      </c>
      <c r="B24" s="3" t="s">
        <v>0</v>
      </c>
      <c r="C24" s="3" t="s">
        <v>8</v>
      </c>
      <c r="D24" s="3" t="s">
        <v>0</v>
      </c>
      <c r="E24" s="3" t="s">
        <v>9</v>
      </c>
      <c r="F24" s="3" t="s">
        <v>3</v>
      </c>
      <c r="G24" s="3" t="s">
        <v>9</v>
      </c>
      <c r="H24" s="11">
        <v>15</v>
      </c>
      <c r="I24" s="11" t="s">
        <v>4</v>
      </c>
    </row>
    <row r="25" spans="1:9" x14ac:dyDescent="0.25">
      <c r="A25" s="3" t="s">
        <v>0</v>
      </c>
      <c r="B25" s="3" t="s">
        <v>0</v>
      </c>
      <c r="C25" s="3" t="s">
        <v>8</v>
      </c>
      <c r="D25" s="3" t="s">
        <v>0</v>
      </c>
      <c r="E25" s="3" t="s">
        <v>9</v>
      </c>
      <c r="F25" s="3" t="s">
        <v>3</v>
      </c>
      <c r="G25" s="3" t="s">
        <v>3</v>
      </c>
      <c r="H25" s="11">
        <v>10</v>
      </c>
      <c r="I25" s="11" t="s">
        <v>4</v>
      </c>
    </row>
    <row r="26" spans="1:9" x14ac:dyDescent="0.25">
      <c r="A26" s="3" t="s">
        <v>5</v>
      </c>
      <c r="B26" s="3" t="s">
        <v>5</v>
      </c>
      <c r="C26" s="3" t="s">
        <v>8</v>
      </c>
      <c r="D26" s="3" t="s">
        <v>0</v>
      </c>
      <c r="E26" s="3" t="s">
        <v>3</v>
      </c>
      <c r="F26" s="3" t="s">
        <v>3</v>
      </c>
      <c r="G26" s="3" t="s">
        <v>7</v>
      </c>
      <c r="H26" s="11">
        <v>10</v>
      </c>
      <c r="I26" s="11" t="s">
        <v>4</v>
      </c>
    </row>
    <row r="27" spans="1:9" x14ac:dyDescent="0.25">
      <c r="A27" s="3" t="s">
        <v>1</v>
      </c>
      <c r="B27" s="3" t="s">
        <v>0</v>
      </c>
      <c r="C27" s="3" t="s">
        <v>8</v>
      </c>
      <c r="D27" s="3" t="s">
        <v>0</v>
      </c>
      <c r="E27" s="3" t="s">
        <v>9</v>
      </c>
      <c r="F27" s="3" t="s">
        <v>3</v>
      </c>
      <c r="G27" s="3" t="s">
        <v>3</v>
      </c>
      <c r="H27" s="11">
        <v>10</v>
      </c>
      <c r="I27" s="11" t="s">
        <v>4</v>
      </c>
    </row>
    <row r="28" spans="1:9" x14ac:dyDescent="0.25">
      <c r="A28" s="3" t="s">
        <v>5</v>
      </c>
      <c r="B28" s="3" t="s">
        <v>0</v>
      </c>
      <c r="C28" s="3" t="s">
        <v>8</v>
      </c>
      <c r="D28" s="3" t="s">
        <v>1</v>
      </c>
      <c r="E28" s="3" t="s">
        <v>3</v>
      </c>
      <c r="F28" s="3" t="s">
        <v>3</v>
      </c>
      <c r="G28" s="3" t="s">
        <v>7</v>
      </c>
      <c r="H28" s="11">
        <v>10</v>
      </c>
      <c r="I28" s="11" t="s">
        <v>4</v>
      </c>
    </row>
    <row r="29" spans="1:9" x14ac:dyDescent="0.25">
      <c r="A29" s="3" t="s">
        <v>1</v>
      </c>
      <c r="B29" s="3" t="s">
        <v>0</v>
      </c>
      <c r="C29" s="3" t="s">
        <v>2</v>
      </c>
      <c r="D29" s="3" t="s">
        <v>5</v>
      </c>
      <c r="E29" s="3" t="s">
        <v>3</v>
      </c>
      <c r="F29" s="3" t="s">
        <v>3</v>
      </c>
      <c r="G29" s="3" t="s">
        <v>7</v>
      </c>
      <c r="H29" s="11">
        <v>10</v>
      </c>
      <c r="I29" s="11" t="s">
        <v>4</v>
      </c>
    </row>
    <row r="30" spans="1:9" x14ac:dyDescent="0.25">
      <c r="A30" s="3" t="s">
        <v>0</v>
      </c>
      <c r="B30" s="3" t="s">
        <v>0</v>
      </c>
      <c r="C30" s="3" t="s">
        <v>2</v>
      </c>
      <c r="D30" s="3" t="s">
        <v>0</v>
      </c>
      <c r="E30" s="3" t="s">
        <v>3</v>
      </c>
      <c r="F30" s="3" t="s">
        <v>3</v>
      </c>
      <c r="G30" s="3" t="s">
        <v>9</v>
      </c>
      <c r="H30" s="11">
        <v>15</v>
      </c>
      <c r="I30" s="11" t="s">
        <v>4</v>
      </c>
    </row>
    <row r="31" spans="1:9" x14ac:dyDescent="0.25">
      <c r="A31" s="3" t="s">
        <v>0</v>
      </c>
      <c r="B31" s="3" t="s">
        <v>0</v>
      </c>
      <c r="C31" s="3" t="s">
        <v>8</v>
      </c>
      <c r="D31" s="3" t="s">
        <v>0</v>
      </c>
      <c r="E31" s="3" t="s">
        <v>9</v>
      </c>
      <c r="F31" s="3" t="s">
        <v>3</v>
      </c>
      <c r="G31" s="3" t="s">
        <v>9</v>
      </c>
      <c r="H31" s="11">
        <v>10</v>
      </c>
      <c r="I31" s="11" t="s">
        <v>6</v>
      </c>
    </row>
    <row r="32" spans="1:9" x14ac:dyDescent="0.25">
      <c r="A32" s="3" t="s">
        <v>0</v>
      </c>
      <c r="B32" s="3" t="s">
        <v>0</v>
      </c>
      <c r="C32" s="3" t="s">
        <v>8</v>
      </c>
      <c r="D32" s="3" t="s">
        <v>5</v>
      </c>
      <c r="E32" s="3" t="s">
        <v>9</v>
      </c>
      <c r="F32" s="3" t="s">
        <v>3</v>
      </c>
      <c r="G32" s="3" t="s">
        <v>3</v>
      </c>
      <c r="H32" s="11">
        <v>10</v>
      </c>
      <c r="I32" s="11" t="s">
        <v>4</v>
      </c>
    </row>
    <row r="33" spans="1:9" x14ac:dyDescent="0.25">
      <c r="A33" s="3" t="s">
        <v>1</v>
      </c>
      <c r="B33" s="3" t="s">
        <v>1</v>
      </c>
      <c r="C33" s="3" t="s">
        <v>8</v>
      </c>
      <c r="D33" s="3" t="s">
        <v>0</v>
      </c>
      <c r="E33" s="3" t="s">
        <v>9</v>
      </c>
      <c r="F33" s="3" t="s">
        <v>3</v>
      </c>
      <c r="G33" s="3" t="s">
        <v>9</v>
      </c>
      <c r="H33" s="11">
        <v>10</v>
      </c>
      <c r="I33" s="11" t="s">
        <v>4</v>
      </c>
    </row>
    <row r="34" spans="1:9" x14ac:dyDescent="0.25">
      <c r="A34" s="3" t="s">
        <v>0</v>
      </c>
      <c r="B34" s="3" t="s">
        <v>0</v>
      </c>
      <c r="C34" s="3" t="s">
        <v>2</v>
      </c>
      <c r="D34" s="3" t="s">
        <v>5</v>
      </c>
      <c r="E34" s="3" t="s">
        <v>9</v>
      </c>
      <c r="F34" s="3" t="s">
        <v>3</v>
      </c>
      <c r="G34" s="3" t="s">
        <v>7</v>
      </c>
      <c r="H34" s="11">
        <v>10</v>
      </c>
      <c r="I34" s="11" t="s">
        <v>4</v>
      </c>
    </row>
    <row r="35" spans="1:9" x14ac:dyDescent="0.25">
      <c r="A35" s="3" t="s">
        <v>0</v>
      </c>
      <c r="B35" s="3" t="s">
        <v>1</v>
      </c>
      <c r="C35" s="3" t="s">
        <v>8</v>
      </c>
      <c r="D35" s="3" t="s">
        <v>0</v>
      </c>
      <c r="E35" s="3" t="s">
        <v>3</v>
      </c>
      <c r="F35" s="3" t="s">
        <v>3</v>
      </c>
      <c r="G35" s="3" t="s">
        <v>3</v>
      </c>
      <c r="H35" s="11">
        <v>10</v>
      </c>
      <c r="I35" s="11" t="s">
        <v>4</v>
      </c>
    </row>
    <row r="36" spans="1:9" x14ac:dyDescent="0.25">
      <c r="A36" s="3" t="s">
        <v>1</v>
      </c>
      <c r="B36" s="3" t="s">
        <v>0</v>
      </c>
      <c r="C36" s="3" t="s">
        <v>2</v>
      </c>
      <c r="D36" s="3" t="s">
        <v>5</v>
      </c>
      <c r="E36" s="3" t="s">
        <v>3</v>
      </c>
      <c r="F36" s="3" t="s">
        <v>3</v>
      </c>
      <c r="G36" s="3" t="s">
        <v>7</v>
      </c>
      <c r="H36" s="11">
        <v>10</v>
      </c>
      <c r="I36" s="11" t="s">
        <v>4</v>
      </c>
    </row>
    <row r="37" spans="1:9" x14ac:dyDescent="0.25">
      <c r="A37" s="3" t="s">
        <v>0</v>
      </c>
      <c r="B37" s="3" t="s">
        <v>0</v>
      </c>
      <c r="C37" s="3" t="s">
        <v>8</v>
      </c>
      <c r="D37" s="3" t="s">
        <v>0</v>
      </c>
      <c r="E37" s="3" t="s">
        <v>3</v>
      </c>
      <c r="F37" s="3" t="s">
        <v>3</v>
      </c>
      <c r="G37" s="3" t="s">
        <v>3</v>
      </c>
      <c r="H37" s="11">
        <v>10</v>
      </c>
      <c r="I37" s="11" t="s">
        <v>4</v>
      </c>
    </row>
    <row r="38" spans="1:9" x14ac:dyDescent="0.25">
      <c r="A38" s="3" t="s">
        <v>1</v>
      </c>
      <c r="B38" s="3" t="s">
        <v>0</v>
      </c>
      <c r="C38" s="3" t="s">
        <v>2</v>
      </c>
      <c r="D38" s="3" t="s">
        <v>0</v>
      </c>
      <c r="E38" s="3" t="s">
        <v>3</v>
      </c>
      <c r="F38" s="3" t="s">
        <v>3</v>
      </c>
      <c r="G38" s="3" t="s">
        <v>3</v>
      </c>
      <c r="H38" s="11">
        <v>10</v>
      </c>
      <c r="I38" s="11" t="s">
        <v>6</v>
      </c>
    </row>
    <row r="39" spans="1:9" x14ac:dyDescent="0.25">
      <c r="A39" s="3" t="s">
        <v>1</v>
      </c>
      <c r="B39" s="3" t="s">
        <v>1</v>
      </c>
      <c r="C39" s="3" t="s">
        <v>8</v>
      </c>
      <c r="D39" s="3" t="s">
        <v>0</v>
      </c>
      <c r="E39" s="3" t="s">
        <v>9</v>
      </c>
      <c r="F39" s="3" t="s">
        <v>3</v>
      </c>
      <c r="G39" s="3" t="s">
        <v>9</v>
      </c>
      <c r="H39" s="11">
        <v>10</v>
      </c>
      <c r="I39" s="11" t="s">
        <v>6</v>
      </c>
    </row>
    <row r="40" spans="1:9" x14ac:dyDescent="0.25">
      <c r="A40" s="3" t="s">
        <v>1</v>
      </c>
      <c r="B40" s="3" t="s">
        <v>1</v>
      </c>
      <c r="C40" s="3" t="s">
        <v>8</v>
      </c>
      <c r="D40" s="3" t="s">
        <v>0</v>
      </c>
      <c r="E40" s="3" t="s">
        <v>3</v>
      </c>
      <c r="F40" s="3" t="s">
        <v>3</v>
      </c>
      <c r="G40" s="3" t="s">
        <v>3</v>
      </c>
      <c r="H40" s="11">
        <v>7</v>
      </c>
      <c r="I40" s="11" t="s">
        <v>6</v>
      </c>
    </row>
    <row r="41" spans="1:9" x14ac:dyDescent="0.25">
      <c r="A41" s="3" t="s">
        <v>0</v>
      </c>
      <c r="B41" s="3" t="s">
        <v>0</v>
      </c>
      <c r="C41" s="3" t="s">
        <v>8</v>
      </c>
      <c r="D41" s="3" t="s">
        <v>5</v>
      </c>
      <c r="E41" s="3" t="s">
        <v>9</v>
      </c>
      <c r="F41" s="3" t="s">
        <v>3</v>
      </c>
      <c r="G41" s="3" t="s">
        <v>7</v>
      </c>
      <c r="H41" s="11">
        <v>10</v>
      </c>
      <c r="I41" s="11" t="s">
        <v>4</v>
      </c>
    </row>
    <row r="42" spans="1:9" x14ac:dyDescent="0.25">
      <c r="A42" s="3" t="s">
        <v>1</v>
      </c>
      <c r="B42" s="3" t="s">
        <v>1</v>
      </c>
      <c r="C42" s="3" t="s">
        <v>8</v>
      </c>
      <c r="D42" s="3" t="s">
        <v>0</v>
      </c>
      <c r="E42" s="3" t="s">
        <v>9</v>
      </c>
      <c r="F42" s="3" t="s">
        <v>3</v>
      </c>
      <c r="G42" s="3" t="s">
        <v>3</v>
      </c>
      <c r="H42" s="11">
        <v>10</v>
      </c>
      <c r="I42" s="11" t="s">
        <v>4</v>
      </c>
    </row>
    <row r="43" spans="1:9" x14ac:dyDescent="0.25">
      <c r="A43" s="3" t="s">
        <v>1</v>
      </c>
      <c r="B43" s="3" t="s">
        <v>0</v>
      </c>
      <c r="C43" s="3" t="s">
        <v>8</v>
      </c>
      <c r="D43" s="3" t="s">
        <v>0</v>
      </c>
      <c r="E43" s="3" t="s">
        <v>3</v>
      </c>
      <c r="F43" s="3" t="s">
        <v>3</v>
      </c>
      <c r="G43" s="3" t="s">
        <v>3</v>
      </c>
      <c r="H43" s="11">
        <v>15</v>
      </c>
      <c r="I43" s="11" t="s">
        <v>6</v>
      </c>
    </row>
    <row r="44" spans="1:9" x14ac:dyDescent="0.25">
      <c r="A44" s="3" t="s">
        <v>5</v>
      </c>
      <c r="B44" s="3" t="s">
        <v>5</v>
      </c>
      <c r="C44" s="3" t="s">
        <v>8</v>
      </c>
      <c r="D44" s="3" t="s">
        <v>5</v>
      </c>
      <c r="E44" s="3" t="s">
        <v>9</v>
      </c>
      <c r="F44" s="3" t="s">
        <v>3</v>
      </c>
      <c r="G44" s="3" t="s">
        <v>3</v>
      </c>
      <c r="H44" s="11">
        <v>15</v>
      </c>
      <c r="I44" s="11" t="s">
        <v>6</v>
      </c>
    </row>
    <row r="45" spans="1:9" x14ac:dyDescent="0.25">
      <c r="A45" s="3" t="s">
        <v>0</v>
      </c>
      <c r="B45" s="3" t="s">
        <v>0</v>
      </c>
      <c r="C45" s="3" t="s">
        <v>8</v>
      </c>
      <c r="D45" s="3" t="s">
        <v>0</v>
      </c>
      <c r="E45" s="3" t="s">
        <v>3</v>
      </c>
      <c r="F45" s="3" t="s">
        <v>3</v>
      </c>
      <c r="G45" s="3" t="s">
        <v>3</v>
      </c>
      <c r="H45" s="11">
        <v>10</v>
      </c>
      <c r="I45" s="11" t="s">
        <v>6</v>
      </c>
    </row>
    <row r="46" spans="1:9" x14ac:dyDescent="0.25">
      <c r="A46" s="3" t="s">
        <v>1</v>
      </c>
      <c r="B46" s="3" t="s">
        <v>1</v>
      </c>
      <c r="C46" s="3" t="s">
        <v>2</v>
      </c>
      <c r="D46" s="3" t="s">
        <v>0</v>
      </c>
      <c r="E46" s="3" t="s">
        <v>3</v>
      </c>
      <c r="F46" s="3" t="s">
        <v>3</v>
      </c>
      <c r="G46" s="3" t="s">
        <v>3</v>
      </c>
      <c r="H46" s="11">
        <v>10</v>
      </c>
      <c r="I46" s="11" t="s">
        <v>4</v>
      </c>
    </row>
    <row r="47" spans="1:9" x14ac:dyDescent="0.25">
      <c r="A47" s="3" t="s">
        <v>1</v>
      </c>
      <c r="B47" s="3" t="s">
        <v>0</v>
      </c>
      <c r="C47" s="3" t="s">
        <v>8</v>
      </c>
      <c r="D47" s="3" t="s">
        <v>0</v>
      </c>
      <c r="E47" s="3" t="s">
        <v>9</v>
      </c>
      <c r="F47" s="3" t="s">
        <v>3</v>
      </c>
      <c r="G47" s="3" t="s">
        <v>3</v>
      </c>
      <c r="H47" s="11">
        <v>10</v>
      </c>
      <c r="I47" s="11" t="s">
        <v>6</v>
      </c>
    </row>
    <row r="48" spans="1:9" x14ac:dyDescent="0.25">
      <c r="A48" s="3" t="s">
        <v>0</v>
      </c>
      <c r="B48" s="3" t="s">
        <v>0</v>
      </c>
      <c r="C48" s="3" t="s">
        <v>2</v>
      </c>
      <c r="D48" s="3" t="s">
        <v>0</v>
      </c>
      <c r="E48" s="3" t="s">
        <v>9</v>
      </c>
      <c r="F48" s="3" t="s">
        <v>3</v>
      </c>
      <c r="G48" s="3" t="s">
        <v>3</v>
      </c>
      <c r="H48" s="11">
        <v>10</v>
      </c>
      <c r="I48" s="11" t="s">
        <v>4</v>
      </c>
    </row>
    <row r="49" spans="1:9" x14ac:dyDescent="0.25">
      <c r="A49" s="3" t="s">
        <v>5</v>
      </c>
      <c r="B49" s="3" t="s">
        <v>5</v>
      </c>
      <c r="C49" s="3" t="s">
        <v>2</v>
      </c>
      <c r="D49" s="3" t="s">
        <v>5</v>
      </c>
      <c r="E49" s="3" t="s">
        <v>3</v>
      </c>
      <c r="F49" s="3" t="s">
        <v>3</v>
      </c>
      <c r="G49" s="3" t="s">
        <v>9</v>
      </c>
      <c r="H49" s="11" t="s">
        <v>11</v>
      </c>
      <c r="I49" s="11" t="s">
        <v>4</v>
      </c>
    </row>
    <row r="50" spans="1:9" x14ac:dyDescent="0.25">
      <c r="A50" s="3" t="s">
        <v>0</v>
      </c>
      <c r="B50" s="3" t="s">
        <v>5</v>
      </c>
      <c r="C50" s="3" t="s">
        <v>8</v>
      </c>
      <c r="D50" s="3" t="s">
        <v>1</v>
      </c>
      <c r="E50" s="3" t="s">
        <v>9</v>
      </c>
      <c r="F50" s="3" t="s">
        <v>3</v>
      </c>
      <c r="G50" s="3" t="s">
        <v>3</v>
      </c>
      <c r="H50" s="11">
        <v>10</v>
      </c>
      <c r="I50" s="11" t="s">
        <v>4</v>
      </c>
    </row>
    <row r="51" spans="1:9" x14ac:dyDescent="0.25">
      <c r="A51" s="3" t="s">
        <v>0</v>
      </c>
      <c r="B51" s="3" t="s">
        <v>5</v>
      </c>
      <c r="C51" s="3" t="s">
        <v>8</v>
      </c>
      <c r="D51" s="3" t="s">
        <v>0</v>
      </c>
      <c r="E51" s="3" t="s">
        <v>9</v>
      </c>
      <c r="F51" s="3" t="s">
        <v>7</v>
      </c>
      <c r="G51" s="3" t="s">
        <v>7</v>
      </c>
      <c r="H51" s="11">
        <v>10</v>
      </c>
      <c r="I51" s="11" t="s">
        <v>4</v>
      </c>
    </row>
    <row r="52" spans="1:9" x14ac:dyDescent="0.25">
      <c r="A52" s="3" t="s">
        <v>1</v>
      </c>
      <c r="B52" s="3" t="s">
        <v>5</v>
      </c>
      <c r="C52" s="3" t="s">
        <v>2</v>
      </c>
      <c r="D52" s="3" t="s">
        <v>0</v>
      </c>
      <c r="E52" s="3" t="s">
        <v>9</v>
      </c>
      <c r="F52" s="3" t="s">
        <v>3</v>
      </c>
      <c r="G52" s="3" t="s">
        <v>3</v>
      </c>
      <c r="H52" s="11">
        <v>10</v>
      </c>
      <c r="I52" s="11" t="s">
        <v>4</v>
      </c>
    </row>
    <row r="53" spans="1:9" x14ac:dyDescent="0.25">
      <c r="A53" s="3" t="s">
        <v>0</v>
      </c>
      <c r="B53" s="3" t="s">
        <v>1</v>
      </c>
      <c r="C53" s="3" t="s">
        <v>2</v>
      </c>
      <c r="D53" s="3" t="s">
        <v>5</v>
      </c>
      <c r="E53" s="3" t="s">
        <v>9</v>
      </c>
      <c r="F53" s="3" t="s">
        <v>3</v>
      </c>
      <c r="G53" s="3" t="s">
        <v>9</v>
      </c>
      <c r="H53" s="11">
        <v>10</v>
      </c>
      <c r="I53" s="11" t="s">
        <v>4</v>
      </c>
    </row>
    <row r="54" spans="1:9" x14ac:dyDescent="0.25">
      <c r="A54" s="3" t="s">
        <v>0</v>
      </c>
      <c r="B54" s="3" t="s">
        <v>0</v>
      </c>
      <c r="C54" s="3" t="s">
        <v>8</v>
      </c>
      <c r="D54" s="3" t="s">
        <v>0</v>
      </c>
      <c r="E54" s="3" t="s">
        <v>9</v>
      </c>
      <c r="F54" s="3" t="s">
        <v>3</v>
      </c>
      <c r="G54" s="3" t="s">
        <v>7</v>
      </c>
      <c r="H54" s="11">
        <v>10</v>
      </c>
      <c r="I54" s="11" t="s">
        <v>6</v>
      </c>
    </row>
    <row r="55" spans="1:9" x14ac:dyDescent="0.25">
      <c r="A55" s="3" t="s">
        <v>5</v>
      </c>
      <c r="B55" s="3" t="s">
        <v>5</v>
      </c>
      <c r="C55" s="3" t="s">
        <v>2</v>
      </c>
      <c r="D55" s="3" t="s">
        <v>0</v>
      </c>
      <c r="E55" s="3" t="s">
        <v>9</v>
      </c>
      <c r="F55" s="3" t="s">
        <v>3</v>
      </c>
      <c r="G55" s="3" t="s">
        <v>7</v>
      </c>
      <c r="H55" s="11">
        <v>10</v>
      </c>
      <c r="I55" s="11" t="s">
        <v>4</v>
      </c>
    </row>
    <row r="56" spans="1:9" x14ac:dyDescent="0.25">
      <c r="A56" s="3" t="s">
        <v>0</v>
      </c>
      <c r="B56" s="3" t="s">
        <v>0</v>
      </c>
      <c r="C56" s="3" t="s">
        <v>8</v>
      </c>
      <c r="D56" s="3" t="s">
        <v>0</v>
      </c>
      <c r="E56" s="3" t="s">
        <v>9</v>
      </c>
      <c r="F56" s="3" t="s">
        <v>3</v>
      </c>
      <c r="G56" s="3" t="s">
        <v>3</v>
      </c>
      <c r="H56" s="11">
        <v>15</v>
      </c>
      <c r="I56" s="11" t="s">
        <v>4</v>
      </c>
    </row>
    <row r="57" spans="1:9" x14ac:dyDescent="0.25">
      <c r="A57" s="3" t="s">
        <v>5</v>
      </c>
      <c r="B57" s="3" t="s">
        <v>0</v>
      </c>
      <c r="C57" s="3" t="s">
        <v>8</v>
      </c>
      <c r="D57" s="3" t="s">
        <v>5</v>
      </c>
      <c r="E57" s="3" t="s">
        <v>3</v>
      </c>
      <c r="F57" s="3" t="s">
        <v>3</v>
      </c>
      <c r="G57" s="3" t="s">
        <v>9</v>
      </c>
      <c r="H57" s="11">
        <v>15</v>
      </c>
      <c r="I57" s="11" t="s">
        <v>4</v>
      </c>
    </row>
    <row r="58" spans="1:9" x14ac:dyDescent="0.25">
      <c r="A58" s="3" t="s">
        <v>0</v>
      </c>
      <c r="B58" s="3" t="s">
        <v>1</v>
      </c>
      <c r="C58" s="3" t="s">
        <v>8</v>
      </c>
      <c r="D58" s="3" t="s">
        <v>5</v>
      </c>
      <c r="E58" s="3" t="s">
        <v>9</v>
      </c>
      <c r="F58" s="3" t="s">
        <v>3</v>
      </c>
      <c r="G58" s="3" t="s">
        <v>7</v>
      </c>
      <c r="H58" s="11">
        <v>10</v>
      </c>
      <c r="I58" s="11" t="s">
        <v>4</v>
      </c>
    </row>
    <row r="59" spans="1:9" x14ac:dyDescent="0.25">
      <c r="A59" s="3" t="s">
        <v>1</v>
      </c>
      <c r="B59" s="3" t="s">
        <v>1</v>
      </c>
      <c r="C59" s="3" t="s">
        <v>8</v>
      </c>
      <c r="D59" s="3" t="s">
        <v>5</v>
      </c>
      <c r="E59" s="3" t="s">
        <v>3</v>
      </c>
      <c r="F59" s="3" t="s">
        <v>3</v>
      </c>
      <c r="G59" s="3" t="s">
        <v>3</v>
      </c>
      <c r="H59" s="11">
        <v>10</v>
      </c>
      <c r="I59" s="11" t="s">
        <v>4</v>
      </c>
    </row>
    <row r="60" spans="1:9" x14ac:dyDescent="0.25">
      <c r="A60" s="3" t="s">
        <v>0</v>
      </c>
      <c r="B60" s="3" t="s">
        <v>5</v>
      </c>
      <c r="C60" s="3" t="s">
        <v>8</v>
      </c>
      <c r="D60" s="3" t="s">
        <v>0</v>
      </c>
      <c r="E60" s="3" t="s">
        <v>3</v>
      </c>
      <c r="F60" s="3" t="s">
        <v>3</v>
      </c>
      <c r="G60" s="3" t="s">
        <v>7</v>
      </c>
      <c r="H60" s="11">
        <v>10</v>
      </c>
      <c r="I60" s="11" t="s">
        <v>4</v>
      </c>
    </row>
    <row r="61" spans="1:9" x14ac:dyDescent="0.25">
      <c r="A61" s="3" t="s">
        <v>0</v>
      </c>
      <c r="B61" s="3" t="s">
        <v>5</v>
      </c>
      <c r="C61" s="3" t="s">
        <v>8</v>
      </c>
      <c r="D61" s="3" t="s">
        <v>0</v>
      </c>
      <c r="E61" s="3" t="s">
        <v>9</v>
      </c>
      <c r="F61" s="3" t="s">
        <v>3</v>
      </c>
      <c r="G61" s="3" t="s">
        <v>9</v>
      </c>
      <c r="H61" s="11">
        <v>10</v>
      </c>
      <c r="I61" s="11" t="s">
        <v>4</v>
      </c>
    </row>
    <row r="62" spans="1:9" x14ac:dyDescent="0.25">
      <c r="A62" s="3" t="s">
        <v>0</v>
      </c>
      <c r="B62" s="3" t="s">
        <v>1</v>
      </c>
      <c r="C62" s="3" t="s">
        <v>2</v>
      </c>
      <c r="D62" s="3" t="s">
        <v>5</v>
      </c>
      <c r="E62" s="3" t="s">
        <v>3</v>
      </c>
      <c r="F62" s="3" t="s">
        <v>3</v>
      </c>
      <c r="G62" s="3" t="s">
        <v>3</v>
      </c>
      <c r="H62" s="11">
        <v>10</v>
      </c>
      <c r="I62" s="11" t="s">
        <v>4</v>
      </c>
    </row>
    <row r="63" spans="1:9" x14ac:dyDescent="0.25">
      <c r="A63" s="3" t="s">
        <v>0</v>
      </c>
      <c r="B63" s="3" t="s">
        <v>0</v>
      </c>
      <c r="C63" s="3" t="s">
        <v>8</v>
      </c>
      <c r="D63" s="3" t="s">
        <v>0</v>
      </c>
      <c r="E63" s="3" t="s">
        <v>3</v>
      </c>
      <c r="F63" s="3" t="s">
        <v>3</v>
      </c>
      <c r="G63" s="3" t="s">
        <v>9</v>
      </c>
      <c r="H63" s="11">
        <v>10</v>
      </c>
      <c r="I63" s="11" t="s">
        <v>4</v>
      </c>
    </row>
    <row r="64" spans="1:9" x14ac:dyDescent="0.25">
      <c r="A64" s="3" t="s">
        <v>0</v>
      </c>
      <c r="B64" s="3" t="s">
        <v>1</v>
      </c>
      <c r="C64" s="3" t="s">
        <v>2</v>
      </c>
      <c r="D64" s="3" t="s">
        <v>0</v>
      </c>
      <c r="E64" s="3" t="s">
        <v>3</v>
      </c>
      <c r="F64" s="3" t="s">
        <v>3</v>
      </c>
      <c r="G64" s="3" t="s">
        <v>9</v>
      </c>
      <c r="H64" s="11">
        <v>10</v>
      </c>
      <c r="I64" s="11" t="s">
        <v>6</v>
      </c>
    </row>
    <row r="65" spans="1:9" x14ac:dyDescent="0.25">
      <c r="A65" s="3" t="s">
        <v>5</v>
      </c>
      <c r="B65" s="3" t="s">
        <v>0</v>
      </c>
      <c r="C65" s="3" t="s">
        <v>2</v>
      </c>
      <c r="D65" s="3" t="s">
        <v>0</v>
      </c>
      <c r="E65" s="3" t="s">
        <v>9</v>
      </c>
      <c r="F65" s="3" t="s">
        <v>9</v>
      </c>
      <c r="G65" s="3" t="s">
        <v>9</v>
      </c>
      <c r="H65" s="11">
        <v>10</v>
      </c>
      <c r="I65" s="11" t="s">
        <v>4</v>
      </c>
    </row>
    <row r="66" spans="1:9" x14ac:dyDescent="0.25">
      <c r="A66" s="3" t="s">
        <v>0</v>
      </c>
      <c r="B66" s="3" t="s">
        <v>0</v>
      </c>
      <c r="C66" s="3" t="s">
        <v>8</v>
      </c>
      <c r="D66" s="3" t="s">
        <v>5</v>
      </c>
      <c r="E66" s="3" t="s">
        <v>3</v>
      </c>
      <c r="F66" s="3" t="s">
        <v>3</v>
      </c>
      <c r="G66" s="3" t="s">
        <v>3</v>
      </c>
      <c r="H66" s="11">
        <v>10</v>
      </c>
      <c r="I66" s="11" t="s">
        <v>6</v>
      </c>
    </row>
    <row r="67" spans="1:9" x14ac:dyDescent="0.25">
      <c r="A67" s="3" t="s">
        <v>0</v>
      </c>
      <c r="B67" s="3" t="s">
        <v>1</v>
      </c>
      <c r="C67" s="3" t="s">
        <v>2</v>
      </c>
      <c r="D67" s="3" t="s">
        <v>0</v>
      </c>
      <c r="E67" s="3" t="s">
        <v>9</v>
      </c>
      <c r="F67" s="3" t="s">
        <v>3</v>
      </c>
      <c r="G67" s="3" t="s">
        <v>3</v>
      </c>
      <c r="H67" s="11">
        <v>10</v>
      </c>
      <c r="I67" s="11" t="s">
        <v>4</v>
      </c>
    </row>
    <row r="68" spans="1:9" x14ac:dyDescent="0.25">
      <c r="A68" s="3" t="s">
        <v>0</v>
      </c>
      <c r="B68" s="3" t="s">
        <v>0</v>
      </c>
      <c r="C68" s="3" t="s">
        <v>2</v>
      </c>
      <c r="D68" s="3" t="s">
        <v>0</v>
      </c>
      <c r="E68" s="3" t="s">
        <v>9</v>
      </c>
      <c r="F68" s="3" t="s">
        <v>3</v>
      </c>
      <c r="G68" s="3" t="s">
        <v>3</v>
      </c>
      <c r="H68" s="11">
        <v>10</v>
      </c>
      <c r="I68" s="11" t="s">
        <v>4</v>
      </c>
    </row>
    <row r="69" spans="1:9" x14ac:dyDescent="0.25">
      <c r="A69" s="3" t="s">
        <v>0</v>
      </c>
      <c r="B69" s="3" t="s">
        <v>0</v>
      </c>
      <c r="C69" s="3" t="s">
        <v>2</v>
      </c>
      <c r="D69" s="3" t="s">
        <v>5</v>
      </c>
      <c r="E69" s="3" t="s">
        <v>3</v>
      </c>
      <c r="F69" s="3" t="s">
        <v>3</v>
      </c>
      <c r="G69" s="3" t="s">
        <v>3</v>
      </c>
      <c r="H69" s="11">
        <v>10</v>
      </c>
      <c r="I69" s="11" t="s">
        <v>4</v>
      </c>
    </row>
    <row r="70" spans="1:9" x14ac:dyDescent="0.25">
      <c r="A70" s="3" t="s">
        <v>0</v>
      </c>
      <c r="B70" s="3" t="s">
        <v>0</v>
      </c>
      <c r="C70" s="3" t="s">
        <v>2</v>
      </c>
      <c r="D70" s="3" t="s">
        <v>1</v>
      </c>
      <c r="E70" s="3" t="s">
        <v>3</v>
      </c>
      <c r="F70" s="3" t="s">
        <v>3</v>
      </c>
      <c r="G70" s="3" t="s">
        <v>3</v>
      </c>
      <c r="H70" s="11">
        <v>10</v>
      </c>
      <c r="I70" s="11" t="s">
        <v>4</v>
      </c>
    </row>
    <row r="71" spans="1:9" x14ac:dyDescent="0.25">
      <c r="A71" s="3" t="s">
        <v>0</v>
      </c>
      <c r="B71" s="3" t="s">
        <v>1</v>
      </c>
      <c r="C71" s="3" t="s">
        <v>2</v>
      </c>
      <c r="D71" s="3" t="s">
        <v>0</v>
      </c>
      <c r="E71" s="3" t="s">
        <v>9</v>
      </c>
      <c r="F71" s="3" t="s">
        <v>9</v>
      </c>
      <c r="G71" s="3" t="s">
        <v>9</v>
      </c>
      <c r="H71" s="11" t="s">
        <v>11</v>
      </c>
      <c r="I71" s="11" t="s">
        <v>4</v>
      </c>
    </row>
    <row r="72" spans="1:9" x14ac:dyDescent="0.25">
      <c r="A72" s="3" t="s">
        <v>1</v>
      </c>
      <c r="B72" s="3" t="s">
        <v>1</v>
      </c>
      <c r="C72" s="3" t="s">
        <v>2</v>
      </c>
      <c r="D72" s="3" t="s">
        <v>0</v>
      </c>
      <c r="E72" s="3" t="s">
        <v>3</v>
      </c>
      <c r="F72" s="3" t="s">
        <v>3</v>
      </c>
      <c r="G72" s="3" t="s">
        <v>3</v>
      </c>
      <c r="H72" s="11">
        <v>10</v>
      </c>
      <c r="I72" s="11" t="s">
        <v>4</v>
      </c>
    </row>
    <row r="73" spans="1:9" x14ac:dyDescent="0.25">
      <c r="A73" s="3" t="s">
        <v>0</v>
      </c>
      <c r="B73" s="3" t="s">
        <v>0</v>
      </c>
      <c r="C73" s="3" t="s">
        <v>2</v>
      </c>
      <c r="D73" s="3" t="s">
        <v>0</v>
      </c>
      <c r="E73" s="3" t="s">
        <v>3</v>
      </c>
      <c r="F73" s="3" t="s">
        <v>3</v>
      </c>
      <c r="G73" s="3" t="s">
        <v>7</v>
      </c>
      <c r="H73" s="11">
        <v>10</v>
      </c>
      <c r="I73" s="11" t="s">
        <v>6</v>
      </c>
    </row>
    <row r="74" spans="1:9" x14ac:dyDescent="0.25">
      <c r="A74" s="3" t="s">
        <v>0</v>
      </c>
      <c r="B74" s="3" t="s">
        <v>0</v>
      </c>
      <c r="C74" s="3" t="s">
        <v>2</v>
      </c>
      <c r="D74" s="3" t="s">
        <v>5</v>
      </c>
      <c r="E74" s="3" t="s">
        <v>3</v>
      </c>
      <c r="F74" s="3" t="s">
        <v>3</v>
      </c>
      <c r="G74" s="3" t="s">
        <v>3</v>
      </c>
      <c r="H74" s="11">
        <v>10</v>
      </c>
      <c r="I74" s="11" t="s">
        <v>4</v>
      </c>
    </row>
    <row r="75" spans="1:9" x14ac:dyDescent="0.25">
      <c r="A75" s="3" t="s">
        <v>0</v>
      </c>
      <c r="B75" s="3" t="s">
        <v>1</v>
      </c>
      <c r="C75" s="3" t="s">
        <v>2</v>
      </c>
      <c r="D75" s="3" t="s">
        <v>5</v>
      </c>
      <c r="E75" s="3" t="s">
        <v>3</v>
      </c>
      <c r="F75" s="3" t="s">
        <v>3</v>
      </c>
      <c r="G75" s="3" t="s">
        <v>7</v>
      </c>
      <c r="H75" s="11">
        <v>10</v>
      </c>
      <c r="I75" s="11" t="s">
        <v>4</v>
      </c>
    </row>
    <row r="76" spans="1:9" x14ac:dyDescent="0.25">
      <c r="A76" s="3" t="s">
        <v>1</v>
      </c>
      <c r="B76" s="3" t="s">
        <v>0</v>
      </c>
      <c r="C76" s="3" t="s">
        <v>8</v>
      </c>
      <c r="D76" s="3" t="s">
        <v>0</v>
      </c>
      <c r="E76" s="3" t="s">
        <v>3</v>
      </c>
      <c r="F76" s="3" t="s">
        <v>3</v>
      </c>
      <c r="G76" s="3" t="s">
        <v>9</v>
      </c>
      <c r="H76" s="11">
        <v>10</v>
      </c>
      <c r="I76" s="11" t="s">
        <v>4</v>
      </c>
    </row>
    <row r="77" spans="1:9" x14ac:dyDescent="0.25">
      <c r="A77" s="3" t="s">
        <v>0</v>
      </c>
      <c r="B77" s="3" t="s">
        <v>0</v>
      </c>
      <c r="C77" s="3" t="s">
        <v>2</v>
      </c>
      <c r="D77" s="3" t="s">
        <v>0</v>
      </c>
      <c r="E77" s="3" t="s">
        <v>3</v>
      </c>
      <c r="F77" s="3" t="s">
        <v>3</v>
      </c>
      <c r="G77" s="3" t="s">
        <v>7</v>
      </c>
      <c r="H77" s="11">
        <v>10</v>
      </c>
      <c r="I77" s="11" t="s">
        <v>4</v>
      </c>
    </row>
    <row r="78" spans="1:9" x14ac:dyDescent="0.25">
      <c r="A78" s="3" t="s">
        <v>0</v>
      </c>
      <c r="B78" s="3" t="s">
        <v>0</v>
      </c>
      <c r="C78" s="3" t="s">
        <v>2</v>
      </c>
      <c r="D78" s="3" t="s">
        <v>0</v>
      </c>
      <c r="E78" s="3" t="s">
        <v>3</v>
      </c>
      <c r="F78" s="3" t="s">
        <v>3</v>
      </c>
      <c r="G78" s="3" t="s">
        <v>9</v>
      </c>
      <c r="H78" s="11">
        <v>10</v>
      </c>
      <c r="I78" s="11" t="s">
        <v>4</v>
      </c>
    </row>
    <row r="79" spans="1:9" x14ac:dyDescent="0.25">
      <c r="A79" s="3" t="s">
        <v>0</v>
      </c>
      <c r="B79" s="3" t="s">
        <v>0</v>
      </c>
      <c r="C79" s="3" t="s">
        <v>2</v>
      </c>
      <c r="D79" s="3" t="s">
        <v>0</v>
      </c>
      <c r="E79" s="3" t="s">
        <v>9</v>
      </c>
      <c r="F79" s="3" t="s">
        <v>9</v>
      </c>
      <c r="G79" s="3" t="s">
        <v>3</v>
      </c>
      <c r="H79" s="11">
        <v>10</v>
      </c>
      <c r="I79" s="11" t="s">
        <v>6</v>
      </c>
    </row>
    <row r="80" spans="1:9" x14ac:dyDescent="0.25">
      <c r="A80" s="3" t="s">
        <v>0</v>
      </c>
      <c r="B80" s="3" t="s">
        <v>0</v>
      </c>
      <c r="C80" s="3" t="s">
        <v>8</v>
      </c>
      <c r="D80" s="3" t="s">
        <v>5</v>
      </c>
      <c r="E80" s="3" t="s">
        <v>3</v>
      </c>
      <c r="F80" s="3" t="s">
        <v>3</v>
      </c>
      <c r="G80" s="3" t="s">
        <v>3</v>
      </c>
      <c r="H80" s="11">
        <v>10</v>
      </c>
      <c r="I80" s="1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F17" sqref="F17"/>
    </sheetView>
  </sheetViews>
  <sheetFormatPr defaultRowHeight="15.75" x14ac:dyDescent="0.25"/>
  <cols>
    <col min="1" max="9" width="12.42578125" style="1" customWidth="1"/>
    <col min="10" max="10" width="18" style="1" customWidth="1"/>
    <col min="11" max="16384" width="9.140625" style="1"/>
  </cols>
  <sheetData>
    <row r="1" spans="1:11" ht="31.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2" t="s">
        <v>20</v>
      </c>
    </row>
    <row r="2" spans="1:11" x14ac:dyDescent="0.25">
      <c r="A2" s="3" t="s">
        <v>0</v>
      </c>
      <c r="B2" s="3" t="s">
        <v>0</v>
      </c>
      <c r="C2" s="3" t="s">
        <v>2</v>
      </c>
      <c r="D2" s="3" t="s">
        <v>0</v>
      </c>
      <c r="E2" s="3" t="s">
        <v>3</v>
      </c>
      <c r="F2" s="3" t="s">
        <v>3</v>
      </c>
      <c r="G2" s="3" t="s">
        <v>3</v>
      </c>
      <c r="H2" s="11">
        <v>15</v>
      </c>
      <c r="I2" s="11" t="s">
        <v>4</v>
      </c>
    </row>
    <row r="3" spans="1:11" x14ac:dyDescent="0.25">
      <c r="A3" s="3" t="s">
        <v>0</v>
      </c>
      <c r="B3" s="3" t="s">
        <v>0</v>
      </c>
      <c r="C3" s="3" t="s">
        <v>2</v>
      </c>
      <c r="D3" s="3" t="s">
        <v>0</v>
      </c>
      <c r="E3" s="3" t="s">
        <v>3</v>
      </c>
      <c r="F3" s="3" t="s">
        <v>3</v>
      </c>
      <c r="G3" s="3" t="s">
        <v>3</v>
      </c>
      <c r="H3" s="11">
        <v>10</v>
      </c>
      <c r="I3" s="11" t="s">
        <v>6</v>
      </c>
    </row>
    <row r="4" spans="1:11" x14ac:dyDescent="0.25">
      <c r="A4" s="3" t="s">
        <v>5</v>
      </c>
      <c r="B4" s="3" t="s">
        <v>0</v>
      </c>
      <c r="C4" s="3" t="s">
        <v>2</v>
      </c>
      <c r="D4" s="3" t="s">
        <v>0</v>
      </c>
      <c r="E4" s="3" t="s">
        <v>9</v>
      </c>
      <c r="F4" s="3" t="s">
        <v>3</v>
      </c>
      <c r="G4" s="3" t="s">
        <v>9</v>
      </c>
      <c r="H4" s="11">
        <v>5</v>
      </c>
      <c r="I4" s="11" t="s">
        <v>4</v>
      </c>
    </row>
    <row r="5" spans="1:11" x14ac:dyDescent="0.25">
      <c r="A5" s="3" t="s">
        <v>0</v>
      </c>
      <c r="B5" s="3" t="s">
        <v>0</v>
      </c>
      <c r="C5" s="3" t="s">
        <v>2</v>
      </c>
      <c r="D5" s="3" t="s">
        <v>0</v>
      </c>
      <c r="E5" s="3" t="s">
        <v>3</v>
      </c>
      <c r="F5" s="3" t="s">
        <v>3</v>
      </c>
      <c r="G5" s="3" t="s">
        <v>9</v>
      </c>
      <c r="H5" s="11">
        <v>10</v>
      </c>
      <c r="I5" s="11" t="s">
        <v>4</v>
      </c>
    </row>
    <row r="6" spans="1:11" x14ac:dyDescent="0.25">
      <c r="A6" s="3" t="s">
        <v>0</v>
      </c>
      <c r="B6" s="3" t="s">
        <v>0</v>
      </c>
      <c r="C6" s="3" t="s">
        <v>2</v>
      </c>
      <c r="D6" s="3" t="s">
        <v>0</v>
      </c>
      <c r="E6" s="3" t="s">
        <v>9</v>
      </c>
      <c r="F6" s="3" t="s">
        <v>3</v>
      </c>
      <c r="G6" s="3" t="s">
        <v>3</v>
      </c>
      <c r="H6" s="11">
        <v>10</v>
      </c>
      <c r="I6" s="11" t="s">
        <v>4</v>
      </c>
      <c r="J6" s="23"/>
      <c r="K6" s="23"/>
    </row>
    <row r="7" spans="1:11" x14ac:dyDescent="0.25">
      <c r="A7" s="3" t="s">
        <v>0</v>
      </c>
      <c r="B7" s="3" t="s">
        <v>0</v>
      </c>
      <c r="C7" s="3" t="s">
        <v>2</v>
      </c>
      <c r="D7" s="3" t="s">
        <v>0</v>
      </c>
      <c r="E7" s="3" t="s">
        <v>9</v>
      </c>
      <c r="F7" s="3" t="s">
        <v>3</v>
      </c>
      <c r="G7" s="3" t="s">
        <v>3</v>
      </c>
      <c r="H7" s="11">
        <v>15</v>
      </c>
      <c r="I7" s="11" t="s">
        <v>6</v>
      </c>
      <c r="J7" s="23"/>
      <c r="K7" s="23"/>
    </row>
    <row r="8" spans="1:11" x14ac:dyDescent="0.25">
      <c r="A8" s="3" t="s">
        <v>0</v>
      </c>
      <c r="B8" s="3" t="s">
        <v>0</v>
      </c>
      <c r="C8" s="3" t="s">
        <v>8</v>
      </c>
      <c r="D8" s="3" t="s">
        <v>0</v>
      </c>
      <c r="E8" s="3" t="s">
        <v>9</v>
      </c>
      <c r="F8" s="3" t="s">
        <v>3</v>
      </c>
      <c r="G8" s="3" t="s">
        <v>3</v>
      </c>
      <c r="H8" s="11">
        <v>15</v>
      </c>
      <c r="I8" s="11" t="s">
        <v>4</v>
      </c>
      <c r="J8" s="23"/>
      <c r="K8" s="23"/>
    </row>
    <row r="9" spans="1:11" x14ac:dyDescent="0.25">
      <c r="A9" s="3" t="s">
        <v>0</v>
      </c>
      <c r="B9" s="3" t="s">
        <v>0</v>
      </c>
      <c r="C9" s="3" t="s">
        <v>2</v>
      </c>
      <c r="D9" s="3" t="s">
        <v>0</v>
      </c>
      <c r="E9" s="3" t="s">
        <v>9</v>
      </c>
      <c r="F9" s="3" t="s">
        <v>3</v>
      </c>
      <c r="G9" s="3" t="s">
        <v>3</v>
      </c>
      <c r="H9" s="11">
        <v>10</v>
      </c>
      <c r="I9" s="11" t="s">
        <v>4</v>
      </c>
      <c r="J9" s="23"/>
      <c r="K9" s="23"/>
    </row>
    <row r="10" spans="1:11" x14ac:dyDescent="0.25">
      <c r="A10" s="3" t="s">
        <v>0</v>
      </c>
      <c r="B10" s="3" t="s">
        <v>0</v>
      </c>
      <c r="C10" s="3" t="s">
        <v>8</v>
      </c>
      <c r="D10" s="3" t="s">
        <v>0</v>
      </c>
      <c r="E10" s="3" t="s">
        <v>9</v>
      </c>
      <c r="F10" s="3" t="s">
        <v>3</v>
      </c>
      <c r="G10" s="3" t="s">
        <v>3</v>
      </c>
      <c r="H10" s="11">
        <v>15</v>
      </c>
      <c r="I10" s="11" t="s">
        <v>6</v>
      </c>
      <c r="J10" s="23"/>
      <c r="K10" s="23"/>
    </row>
    <row r="11" spans="1:11" x14ac:dyDescent="0.25">
      <c r="I11" s="23"/>
      <c r="J11" s="23"/>
      <c r="K11" s="23"/>
    </row>
    <row r="12" spans="1:11" x14ac:dyDescent="0.25">
      <c r="I12" s="23"/>
      <c r="J12" s="23"/>
      <c r="K12" s="23"/>
    </row>
    <row r="13" spans="1:11" x14ac:dyDescent="0.25">
      <c r="I13" s="23"/>
      <c r="J13" s="23"/>
      <c r="K13" s="23"/>
    </row>
    <row r="14" spans="1:11" x14ac:dyDescent="0.25">
      <c r="I14" s="23"/>
      <c r="J14" s="23"/>
      <c r="K14" s="23"/>
    </row>
    <row r="15" spans="1:11" x14ac:dyDescent="0.25">
      <c r="I15" s="23"/>
      <c r="J15" s="23"/>
      <c r="K15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7"/>
  <sheetViews>
    <sheetView tabSelected="1" topLeftCell="A10" zoomScale="82" zoomScaleNormal="82" workbookViewId="0">
      <selection activeCell="L31" sqref="L31"/>
    </sheetView>
  </sheetViews>
  <sheetFormatPr defaultRowHeight="15.75" x14ac:dyDescent="0.25"/>
  <cols>
    <col min="1" max="1" width="13.42578125" style="1" customWidth="1"/>
    <col min="2" max="2" width="12.5703125" style="1" customWidth="1"/>
    <col min="3" max="8" width="13.42578125" style="1" customWidth="1"/>
    <col min="9" max="9" width="17.85546875" style="1" customWidth="1"/>
    <col min="10" max="10" width="18" style="1" customWidth="1"/>
    <col min="11" max="14" width="18.28515625" style="1" customWidth="1"/>
    <col min="15" max="15" width="19.42578125" style="1" customWidth="1"/>
    <col min="16" max="16" width="18.28515625" style="1" customWidth="1"/>
    <col min="17" max="17" width="21.85546875" style="1" customWidth="1"/>
    <col min="18" max="18" width="20.28515625" style="1" customWidth="1"/>
    <col min="19" max="19" width="22" style="1" customWidth="1"/>
    <col min="20" max="20" width="21.5703125" style="1" customWidth="1"/>
    <col min="21" max="21" width="20.5703125" style="1" customWidth="1"/>
    <col min="22" max="22" width="21.140625" style="1" customWidth="1"/>
    <col min="23" max="24" width="23" style="1" customWidth="1"/>
    <col min="25" max="26" width="20" style="1" customWidth="1"/>
    <col min="27" max="27" width="17" style="1" customWidth="1"/>
    <col min="28" max="28" width="7.7109375" style="1" customWidth="1"/>
    <col min="29" max="29" width="17.140625" style="1" customWidth="1"/>
    <col min="30" max="30" width="13" style="1" customWidth="1"/>
    <col min="31" max="16384" width="9.140625" style="1"/>
  </cols>
  <sheetData>
    <row r="1" spans="1:30" ht="33" customHeight="1" x14ac:dyDescent="0.25">
      <c r="A1" s="31" t="s">
        <v>71</v>
      </c>
      <c r="B1" s="32"/>
      <c r="C1" s="30">
        <f>F1/F3</f>
        <v>0.73417721518987344</v>
      </c>
      <c r="E1" s="36" t="s">
        <v>21</v>
      </c>
      <c r="F1" s="28">
        <v>58</v>
      </c>
    </row>
    <row r="2" spans="1:30" ht="33" customHeight="1" x14ac:dyDescent="0.25">
      <c r="A2" s="33" t="s">
        <v>72</v>
      </c>
      <c r="B2" s="34"/>
      <c r="C2" s="35">
        <f>F2/F3</f>
        <v>0.26582278481012656</v>
      </c>
      <c r="E2" s="26" t="s">
        <v>22</v>
      </c>
      <c r="F2" s="28">
        <v>21</v>
      </c>
    </row>
    <row r="3" spans="1:30" x14ac:dyDescent="0.25">
      <c r="E3" s="27" t="s">
        <v>23</v>
      </c>
      <c r="F3" s="29">
        <f>SUM(F1:F2)</f>
        <v>79</v>
      </c>
    </row>
    <row r="5" spans="1:30" x14ac:dyDescent="0.25">
      <c r="I5" s="17" t="s">
        <v>47</v>
      </c>
      <c r="J5" s="17" t="s">
        <v>48</v>
      </c>
      <c r="K5" s="17" t="s">
        <v>49</v>
      </c>
      <c r="L5" s="17" t="s">
        <v>50</v>
      </c>
      <c r="M5" s="17" t="s">
        <v>51</v>
      </c>
      <c r="N5" s="17" t="s">
        <v>52</v>
      </c>
      <c r="O5" s="17" t="s">
        <v>53</v>
      </c>
      <c r="P5" s="17" t="s">
        <v>62</v>
      </c>
      <c r="Q5" s="17" t="s">
        <v>55</v>
      </c>
      <c r="R5" s="17" t="s">
        <v>56</v>
      </c>
      <c r="S5" s="17" t="s">
        <v>57</v>
      </c>
      <c r="T5" s="17" t="s">
        <v>54</v>
      </c>
      <c r="U5" s="17" t="s">
        <v>58</v>
      </c>
      <c r="V5" s="17" t="s">
        <v>59</v>
      </c>
      <c r="W5" s="17" t="s">
        <v>60</v>
      </c>
      <c r="X5" s="17" t="s">
        <v>61</v>
      </c>
    </row>
    <row r="6" spans="1:30" ht="64.5" customHeight="1" x14ac:dyDescent="0.25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4" t="s">
        <v>24</v>
      </c>
      <c r="J6" s="5" t="s">
        <v>25</v>
      </c>
      <c r="K6" s="4" t="s">
        <v>26</v>
      </c>
      <c r="L6" s="5" t="s">
        <v>27</v>
      </c>
      <c r="M6" s="4" t="s">
        <v>28</v>
      </c>
      <c r="N6" s="5" t="s">
        <v>29</v>
      </c>
      <c r="O6" s="4" t="s">
        <v>30</v>
      </c>
      <c r="P6" s="5" t="s">
        <v>31</v>
      </c>
      <c r="Q6" s="4" t="s">
        <v>32</v>
      </c>
      <c r="R6" s="5" t="s">
        <v>33</v>
      </c>
      <c r="S6" s="4" t="s">
        <v>34</v>
      </c>
      <c r="T6" s="5" t="s">
        <v>35</v>
      </c>
      <c r="U6" s="4" t="s">
        <v>36</v>
      </c>
      <c r="V6" s="5" t="s">
        <v>37</v>
      </c>
      <c r="W6" s="4" t="s">
        <v>38</v>
      </c>
      <c r="X6" s="5" t="s">
        <v>39</v>
      </c>
      <c r="Y6" s="6" t="s">
        <v>40</v>
      </c>
      <c r="Z6" s="7" t="s">
        <v>41</v>
      </c>
      <c r="AA6" s="18" t="s">
        <v>20</v>
      </c>
      <c r="AB6" s="18"/>
      <c r="AC6" s="14" t="s">
        <v>42</v>
      </c>
      <c r="AD6" s="43" t="s">
        <v>43</v>
      </c>
    </row>
    <row r="7" spans="1:30" x14ac:dyDescent="0.25">
      <c r="A7" s="3" t="s">
        <v>0</v>
      </c>
      <c r="B7" s="3" t="s">
        <v>0</v>
      </c>
      <c r="C7" s="3" t="s">
        <v>2</v>
      </c>
      <c r="D7" s="3" t="s">
        <v>0</v>
      </c>
      <c r="E7" s="3" t="s">
        <v>3</v>
      </c>
      <c r="F7" s="3" t="s">
        <v>3</v>
      </c>
      <c r="G7" s="3" t="s">
        <v>3</v>
      </c>
      <c r="H7" s="11">
        <v>15</v>
      </c>
      <c r="I7" s="8">
        <f>COUNTIFS(LCORE,'DATA  TRAINING'!A2,DECISION,'DATA  TRAINING'!I2)/'PERHITUNGAN MANUAL'!$F$1</f>
        <v>0.62068965517241381</v>
      </c>
      <c r="J7" s="9">
        <f>COUNTIFS(LCORE,'DATA  TRAINING'!A2,DECISION,'DATA  TRAINING'!I3)/'PERHITUNGAN MANUAL'!$F$2</f>
        <v>0.5714285714285714</v>
      </c>
      <c r="K7" s="8">
        <f>COUNTIFS(LSURF,'DATA  TRAINING'!$B$6,DECISION,'DATA  TRAINING'!$I$2)/'PERHITUNGAN MANUAL'!$F$1</f>
        <v>0.46551724137931033</v>
      </c>
      <c r="L7" s="9">
        <f>COUNTIFS(LSURF,'DATA  TRAINING'!$B$6,DECISION,'DATA  TRAINING'!$I$3)/'PERHITUNGAN MANUAL'!$F$2</f>
        <v>0.52380952380952384</v>
      </c>
      <c r="M7" s="8">
        <f>COUNTIFS(LO,'DATA  TRAINING'!$C$2,DECISION,'DATA  TRAINING'!$I$2)/'PERHITUNGAN MANUAL'!$F$1</f>
        <v>0.46551724137931033</v>
      </c>
      <c r="N7" s="9">
        <f>COUNTIFS(LO,'DATA  TRAINING'!$C$2,DECISION,'DATA  TRAINING'!$I$3)/'PERHITUNGAN MANUAL'!$F$2</f>
        <v>0.42857142857142855</v>
      </c>
      <c r="O7" s="8">
        <f>COUNTIFS(LBP,'DATA  TRAINING'!$D$2,DECISION,'DATA  TRAINING'!$I$2)/'PERHITUNGAN MANUAL'!$F$1</f>
        <v>0.55172413793103448</v>
      </c>
      <c r="P7" s="9">
        <f>COUNTIFS(LBP,'DATA  TRAINING'!$D$2,DECISION,'DATA  TRAINING'!$I$3)/'PERHITUNGAN MANUAL'!$F$2</f>
        <v>0.7142857142857143</v>
      </c>
      <c r="Q7" s="8">
        <f>COUNTIFS(SURF_STBL,'DATA  TRAINING'!$E$2,DECISION,'DATA  TRAINING'!$I$2)/'PERHITUNGAN MANUAL'!$F$1</f>
        <v>0.5</v>
      </c>
      <c r="R7" s="9">
        <f>COUNTIFS(SURF_STBL,'DATA  TRAINING'!$E$2,DECISION,'DATA  TRAINING'!$I$3)/'PERHITUNGAN MANUAL'!$F$2</f>
        <v>0.52380952380952384</v>
      </c>
      <c r="S7" s="8">
        <f>COUNTIFS(CORE_STBL,'DATA  TRAINING'!$F$2,DECISION,'DATA  TRAINING'!$I$2)/'PERHITUNGAN MANUAL'!$F$1</f>
        <v>0.93103448275862066</v>
      </c>
      <c r="T7" s="9">
        <f>COUNTIFS(CORE_STBL,'DATA  TRAINING'!$F$2,DECISION,'DATA  TRAINING'!$I$3)/'PERHITUNGAN MANUAL'!$F$2</f>
        <v>0.8571428571428571</v>
      </c>
      <c r="U7" s="8">
        <f>COUNTIFS(BP_STBL,'DATA  TRAINING'!$G$2,DECISION,'DATA  TRAINING'!$I$2)/'PERHITUNGAN MANUAL'!$F$1</f>
        <v>0.44827586206896552</v>
      </c>
      <c r="V7" s="9">
        <f>COUNTIFS(BP_STBL,'DATA  TRAINING'!$G$2,DECISION,'DATA  TRAINING'!$I$3)/'PERHITUNGAN MANUAL'!$F$2</f>
        <v>0.5714285714285714</v>
      </c>
      <c r="W7" s="8">
        <f>COUNTIFS(COMFORT,'DATA  TRAINING'!$H$2,DECISION,'DATA  TRAINING'!$I$2)/'PERHITUNGAN MANUAL'!$F$1</f>
        <v>0.17241379310344829</v>
      </c>
      <c r="X7" s="9">
        <f>COUNTIFS(COMFORT,'DATA  TRAINING'!$H$2,DECISION,'DATA  TRAINING'!$I$3)/'PERHITUNGAN MANUAL'!$F$2</f>
        <v>0.19047619047619047</v>
      </c>
      <c r="Y7" s="10">
        <f>$C$1*I7*K7*M7*O7*Q7*S7*U7*W7</f>
        <v>1.9602978647771433E-3</v>
      </c>
      <c r="Z7" s="42">
        <f>$C$2*J7*L7*N7*P7*R7*T7*V7*X7</f>
        <v>1.1902877743566055E-3</v>
      </c>
      <c r="AA7" s="12">
        <f>MAX(Y7:Z7)</f>
        <v>1.9602978647771433E-3</v>
      </c>
      <c r="AB7" s="13" t="s">
        <v>4</v>
      </c>
      <c r="AC7" s="21" t="s">
        <v>4</v>
      </c>
      <c r="AD7" s="16" t="b">
        <f>IF(AB7=AC7,TRUE,FALSE)</f>
        <v>1</v>
      </c>
    </row>
    <row r="8" spans="1:30" x14ac:dyDescent="0.25">
      <c r="A8" s="3" t="s">
        <v>0</v>
      </c>
      <c r="B8" s="3" t="s">
        <v>0</v>
      </c>
      <c r="C8" s="3" t="s">
        <v>2</v>
      </c>
      <c r="D8" s="3" t="s">
        <v>0</v>
      </c>
      <c r="E8" s="3" t="s">
        <v>3</v>
      </c>
      <c r="F8" s="3" t="s">
        <v>3</v>
      </c>
      <c r="G8" s="3" t="s">
        <v>3</v>
      </c>
      <c r="H8" s="11">
        <v>10</v>
      </c>
      <c r="I8" s="8">
        <f>I7</f>
        <v>0.62068965517241381</v>
      </c>
      <c r="J8" s="9">
        <f>J7</f>
        <v>0.5714285714285714</v>
      </c>
      <c r="K8" s="8">
        <f>COUNTIFS(LSURF,'DATA  TRAINING'!$B$6,DECISION,'DATA  TRAINING'!$I$2)/'PERHITUNGAN MANUAL'!$F$1</f>
        <v>0.46551724137931033</v>
      </c>
      <c r="L8" s="9">
        <f t="shared" ref="L8:V8" si="0">L7</f>
        <v>0.52380952380952384</v>
      </c>
      <c r="M8" s="8">
        <f t="shared" si="0"/>
        <v>0.46551724137931033</v>
      </c>
      <c r="N8" s="9">
        <f t="shared" si="0"/>
        <v>0.42857142857142855</v>
      </c>
      <c r="O8" s="8">
        <f t="shared" si="0"/>
        <v>0.55172413793103448</v>
      </c>
      <c r="P8" s="9">
        <f t="shared" si="0"/>
        <v>0.7142857142857143</v>
      </c>
      <c r="Q8" s="8">
        <f t="shared" si="0"/>
        <v>0.5</v>
      </c>
      <c r="R8" s="9">
        <f t="shared" si="0"/>
        <v>0.52380952380952384</v>
      </c>
      <c r="S8" s="8">
        <f t="shared" si="0"/>
        <v>0.93103448275862066</v>
      </c>
      <c r="T8" s="9">
        <f t="shared" si="0"/>
        <v>0.8571428571428571</v>
      </c>
      <c r="U8" s="8">
        <f t="shared" si="0"/>
        <v>0.44827586206896552</v>
      </c>
      <c r="V8" s="9">
        <f t="shared" si="0"/>
        <v>0.5714285714285714</v>
      </c>
      <c r="W8" s="8">
        <f>COUNTIFS(COMFORT,'DATA  TRAINING'!$H$3,DECISION,'DATA  TRAINING'!$I$2)/'PERHITUNGAN MANUAL'!$F$1</f>
        <v>0.77586206896551724</v>
      </c>
      <c r="X8" s="9">
        <f>COUNTIFS(COMFORT,'DATA  TRAINING'!$H$3,DECISION,'DATA  TRAINING'!$I$3)/'PERHITUNGAN MANUAL'!$F$2</f>
        <v>0.7142857142857143</v>
      </c>
      <c r="Y8" s="10">
        <f t="shared" ref="Y8:Y15" si="1">$C$1*I8*K8*M8*O8*Q8*S8*U8*W8</f>
        <v>8.8213403914971442E-3</v>
      </c>
      <c r="Z8" s="42">
        <f t="shared" ref="Z8:Z15" si="2">$C$2*J8*L8*N8*P8*R8*T8*V8*X8</f>
        <v>4.4635791538372707E-3</v>
      </c>
      <c r="AA8" s="12">
        <f t="shared" ref="AA8:AA15" si="3">MAX(Y8:Z8)</f>
        <v>8.8213403914971442E-3</v>
      </c>
      <c r="AB8" s="13" t="s">
        <v>4</v>
      </c>
      <c r="AC8" s="21" t="s">
        <v>6</v>
      </c>
      <c r="AD8" s="15" t="b">
        <f t="shared" ref="AD8:AD14" si="4">IF(AB8=AC8,TRUE,FALSE)</f>
        <v>0</v>
      </c>
    </row>
    <row r="9" spans="1:30" x14ac:dyDescent="0.25">
      <c r="A9" s="3" t="s">
        <v>5</v>
      </c>
      <c r="B9" s="3" t="s">
        <v>0</v>
      </c>
      <c r="C9" s="3" t="s">
        <v>2</v>
      </c>
      <c r="D9" s="3" t="s">
        <v>0</v>
      </c>
      <c r="E9" s="3" t="s">
        <v>9</v>
      </c>
      <c r="F9" s="3" t="s">
        <v>3</v>
      </c>
      <c r="G9" s="3" t="s">
        <v>9</v>
      </c>
      <c r="H9" s="11">
        <v>5</v>
      </c>
      <c r="I9" s="8">
        <f>COUNTIFS(LCORE,'DATA  TRAINING'!A4,DECISION,'DATA  TRAINING'!I2)/'PERHITUNGAN MANUAL'!$F$1</f>
        <v>0.15517241379310345</v>
      </c>
      <c r="J9" s="9">
        <f>COUNTIFS(LCORE,'DATA  TRAINING'!A4,DECISION,'DATA  TRAINING'!I3)/'PERHITUNGAN MANUAL'!$F$2</f>
        <v>0.14285714285714285</v>
      </c>
      <c r="K9" s="8">
        <f>COUNTIFS(LSURF,'DATA  TRAINING'!$B$6,DECISION,'DATA  TRAINING'!$I$2)/'PERHITUNGAN MANUAL'!$F$1</f>
        <v>0.46551724137931033</v>
      </c>
      <c r="L9" s="9">
        <f>L7</f>
        <v>0.52380952380952384</v>
      </c>
      <c r="M9" s="8">
        <f>M7</f>
        <v>0.46551724137931033</v>
      </c>
      <c r="N9" s="9">
        <f>N7</f>
        <v>0.42857142857142855</v>
      </c>
      <c r="O9" s="20">
        <f>O7</f>
        <v>0.55172413793103448</v>
      </c>
      <c r="P9" s="9">
        <f>P7</f>
        <v>0.7142857142857143</v>
      </c>
      <c r="Q9" s="8">
        <f>COUNTIFS(SURF_STBL,'DATA  TRAINING'!$E$9,DECISION,'DATA  TRAINING'!$I$2)/'PERHITUNGAN MANUAL'!$F$1</f>
        <v>0.48275862068965519</v>
      </c>
      <c r="R9" s="9">
        <f>COUNTIFS(SURF_STBL,'DATA  TRAINING'!$E$9,DECISION,'DATA  TRAINING'!$I$3)/'PERHITUNGAN MANUAL'!$F$2</f>
        <v>0.47619047619047616</v>
      </c>
      <c r="S9" s="8">
        <f>S7</f>
        <v>0.93103448275862066</v>
      </c>
      <c r="T9" s="9">
        <f>T7</f>
        <v>0.8571428571428571</v>
      </c>
      <c r="U9" s="8">
        <f>COUNTIFS(BP_STBL,'DATA  TRAINING'!$G$7,DECISION,'DATA  TRAINING'!$I$2)/'PERHITUNGAN MANUAL'!$F$1</f>
        <v>0.25862068965517243</v>
      </c>
      <c r="V9" s="9">
        <f>COUNTIFS(BP_STBL,'DATA  TRAINING'!$G$7,DECISION,'DATA  TRAINING'!$I$3)/'PERHITUNGAN MANUAL'!$F$2</f>
        <v>0.23809523809523808</v>
      </c>
      <c r="W9" s="8">
        <f>COUNTIFS(COMFORT,'DATA  TRAINING'!$H$8,DECISION,'DATA  TRAINING'!$I$2)/'PERHITUNGAN MANUAL'!$F$1</f>
        <v>0</v>
      </c>
      <c r="X9" s="9">
        <f>COUNTIFS(COMFORT,'DATA  TRAINING'!$H$8,DECISION,'DATA  TRAINING'!$I$3)/'PERHITUNGAN MANUAL'!$F$2</f>
        <v>4.7619047619047616E-2</v>
      </c>
      <c r="Y9" s="10">
        <f t="shared" si="1"/>
        <v>0</v>
      </c>
      <c r="Z9" s="42">
        <f t="shared" si="2"/>
        <v>2.8179161324730239E-5</v>
      </c>
      <c r="AA9" s="12">
        <f t="shared" si="3"/>
        <v>2.8179161324730239E-5</v>
      </c>
      <c r="AB9" s="13" t="s">
        <v>6</v>
      </c>
      <c r="AC9" s="21" t="s">
        <v>4</v>
      </c>
      <c r="AD9" s="15" t="b">
        <f t="shared" si="4"/>
        <v>0</v>
      </c>
    </row>
    <row r="10" spans="1:30" x14ac:dyDescent="0.25">
      <c r="A10" s="3" t="s">
        <v>0</v>
      </c>
      <c r="B10" s="3" t="s">
        <v>0</v>
      </c>
      <c r="C10" s="3" t="s">
        <v>2</v>
      </c>
      <c r="D10" s="3" t="s">
        <v>0</v>
      </c>
      <c r="E10" s="3" t="s">
        <v>3</v>
      </c>
      <c r="F10" s="3" t="s">
        <v>3</v>
      </c>
      <c r="G10" s="3" t="s">
        <v>9</v>
      </c>
      <c r="H10" s="11">
        <v>10</v>
      </c>
      <c r="I10" s="8">
        <f>I7</f>
        <v>0.62068965517241381</v>
      </c>
      <c r="J10" s="9">
        <f>J7</f>
        <v>0.5714285714285714</v>
      </c>
      <c r="K10" s="8">
        <f>COUNTIFS(LSURF,'DATA  TRAINING'!$B$6,DECISION,'DATA  TRAINING'!$I$2)/'PERHITUNGAN MANUAL'!$F$1</f>
        <v>0.46551724137931033</v>
      </c>
      <c r="L10" s="9">
        <f>L7</f>
        <v>0.52380952380952384</v>
      </c>
      <c r="M10" s="8">
        <f>M7</f>
        <v>0.46551724137931033</v>
      </c>
      <c r="N10" s="9">
        <f>N7</f>
        <v>0.42857142857142855</v>
      </c>
      <c r="O10" s="20">
        <f>O7</f>
        <v>0.55172413793103448</v>
      </c>
      <c r="P10" s="9">
        <f>P7</f>
        <v>0.7142857142857143</v>
      </c>
      <c r="Q10" s="8">
        <f>Q7</f>
        <v>0.5</v>
      </c>
      <c r="R10" s="9">
        <f>R8</f>
        <v>0.52380952380952384</v>
      </c>
      <c r="S10" s="8">
        <f>S7</f>
        <v>0.93103448275862066</v>
      </c>
      <c r="T10" s="9">
        <f>T7</f>
        <v>0.8571428571428571</v>
      </c>
      <c r="U10" s="8">
        <f>U9</f>
        <v>0.25862068965517243</v>
      </c>
      <c r="V10" s="9">
        <f>V9</f>
        <v>0.23809523809523808</v>
      </c>
      <c r="W10" s="8">
        <f>W8</f>
        <v>0.77586206896551724</v>
      </c>
      <c r="X10" s="9">
        <f>X8</f>
        <v>0.7142857142857143</v>
      </c>
      <c r="Y10" s="10">
        <f t="shared" si="1"/>
        <v>5.0892348412483529E-3</v>
      </c>
      <c r="Z10" s="42">
        <f t="shared" si="2"/>
        <v>1.8598246474321959E-3</v>
      </c>
      <c r="AA10" s="12">
        <f t="shared" si="3"/>
        <v>5.0892348412483529E-3</v>
      </c>
      <c r="AB10" s="13" t="s">
        <v>4</v>
      </c>
      <c r="AC10" s="21" t="s">
        <v>4</v>
      </c>
      <c r="AD10" s="16" t="b">
        <f t="shared" si="4"/>
        <v>1</v>
      </c>
    </row>
    <row r="11" spans="1:30" x14ac:dyDescent="0.25">
      <c r="A11" s="3" t="s">
        <v>0</v>
      </c>
      <c r="B11" s="3" t="s">
        <v>0</v>
      </c>
      <c r="C11" s="3" t="s">
        <v>2</v>
      </c>
      <c r="D11" s="3" t="s">
        <v>0</v>
      </c>
      <c r="E11" s="3" t="s">
        <v>9</v>
      </c>
      <c r="F11" s="3" t="s">
        <v>3</v>
      </c>
      <c r="G11" s="3" t="s">
        <v>3</v>
      </c>
      <c r="H11" s="11">
        <v>10</v>
      </c>
      <c r="I11" s="8">
        <f>I7</f>
        <v>0.62068965517241381</v>
      </c>
      <c r="J11" s="9">
        <f>J7</f>
        <v>0.5714285714285714</v>
      </c>
      <c r="K11" s="8">
        <f>COUNTIFS(LSURF,'DATA  TRAINING'!$B$6,DECISION,'DATA  TRAINING'!$I$2)/'PERHITUNGAN MANUAL'!$F$1</f>
        <v>0.46551724137931033</v>
      </c>
      <c r="L11" s="9">
        <f>L7</f>
        <v>0.52380952380952384</v>
      </c>
      <c r="M11" s="8">
        <f>M7</f>
        <v>0.46551724137931033</v>
      </c>
      <c r="N11" s="9">
        <f>N7</f>
        <v>0.42857142857142855</v>
      </c>
      <c r="O11" s="20">
        <f>O7</f>
        <v>0.55172413793103448</v>
      </c>
      <c r="P11" s="9">
        <f>P7</f>
        <v>0.7142857142857143</v>
      </c>
      <c r="Q11" s="8">
        <f>Q9</f>
        <v>0.48275862068965519</v>
      </c>
      <c r="R11" s="9">
        <f>R9</f>
        <v>0.47619047619047616</v>
      </c>
      <c r="S11" s="8">
        <f>S7</f>
        <v>0.93103448275862066</v>
      </c>
      <c r="T11" s="9">
        <f>T7</f>
        <v>0.8571428571428571</v>
      </c>
      <c r="U11" s="8">
        <f>U7</f>
        <v>0.44827586206896552</v>
      </c>
      <c r="V11" s="9">
        <f>V7</f>
        <v>0.5714285714285714</v>
      </c>
      <c r="W11" s="8">
        <f>W8</f>
        <v>0.77586206896551724</v>
      </c>
      <c r="X11" s="9">
        <f>X8</f>
        <v>0.7142857142857143</v>
      </c>
      <c r="Y11" s="10">
        <f t="shared" si="1"/>
        <v>8.5171562400662097E-3</v>
      </c>
      <c r="Z11" s="42">
        <f t="shared" si="2"/>
        <v>4.0577992307611549E-3</v>
      </c>
      <c r="AA11" s="12">
        <f t="shared" si="3"/>
        <v>8.5171562400662097E-3</v>
      </c>
      <c r="AB11" s="13" t="s">
        <v>4</v>
      </c>
      <c r="AC11" s="21" t="s">
        <v>4</v>
      </c>
      <c r="AD11" s="16" t="b">
        <f t="shared" si="4"/>
        <v>1</v>
      </c>
    </row>
    <row r="12" spans="1:30" x14ac:dyDescent="0.25">
      <c r="A12" s="3" t="s">
        <v>0</v>
      </c>
      <c r="B12" s="3" t="s">
        <v>0</v>
      </c>
      <c r="C12" s="3" t="s">
        <v>2</v>
      </c>
      <c r="D12" s="3" t="s">
        <v>0</v>
      </c>
      <c r="E12" s="3" t="s">
        <v>9</v>
      </c>
      <c r="F12" s="3" t="s">
        <v>3</v>
      </c>
      <c r="G12" s="3" t="s">
        <v>3</v>
      </c>
      <c r="H12" s="11">
        <v>15</v>
      </c>
      <c r="I12" s="8">
        <f>I7</f>
        <v>0.62068965517241381</v>
      </c>
      <c r="J12" s="9">
        <f>J7</f>
        <v>0.5714285714285714</v>
      </c>
      <c r="K12" s="8">
        <f>COUNTIFS(LSURF,'DATA  TRAINING'!$B$6,DECISION,'DATA  TRAINING'!$I$2)/'PERHITUNGAN MANUAL'!$F$1</f>
        <v>0.46551724137931033</v>
      </c>
      <c r="L12" s="9">
        <f>L7</f>
        <v>0.52380952380952384</v>
      </c>
      <c r="M12" s="8">
        <f>M7</f>
        <v>0.46551724137931033</v>
      </c>
      <c r="N12" s="9">
        <f>N7</f>
        <v>0.42857142857142855</v>
      </c>
      <c r="O12" s="20">
        <f>O7</f>
        <v>0.55172413793103448</v>
      </c>
      <c r="P12" s="9">
        <f>P7</f>
        <v>0.7142857142857143</v>
      </c>
      <c r="Q12" s="8">
        <f>Q9</f>
        <v>0.48275862068965519</v>
      </c>
      <c r="R12" s="9">
        <f>R9</f>
        <v>0.47619047619047616</v>
      </c>
      <c r="S12" s="8">
        <f>S7</f>
        <v>0.93103448275862066</v>
      </c>
      <c r="T12" s="9">
        <f>T7</f>
        <v>0.8571428571428571</v>
      </c>
      <c r="U12" s="8">
        <f>U7</f>
        <v>0.44827586206896552</v>
      </c>
      <c r="V12" s="9">
        <f>V7</f>
        <v>0.5714285714285714</v>
      </c>
      <c r="W12" s="8">
        <f>W7</f>
        <v>0.17241379310344829</v>
      </c>
      <c r="X12" s="9">
        <f>X7</f>
        <v>0.19047619047619047</v>
      </c>
      <c r="Y12" s="10">
        <f t="shared" si="1"/>
        <v>1.8927013866813799E-3</v>
      </c>
      <c r="Z12" s="42">
        <f t="shared" si="2"/>
        <v>1.0820797948696414E-3</v>
      </c>
      <c r="AA12" s="12">
        <f t="shared" si="3"/>
        <v>1.8927013866813799E-3</v>
      </c>
      <c r="AB12" s="13" t="s">
        <v>4</v>
      </c>
      <c r="AC12" s="21" t="s">
        <v>6</v>
      </c>
      <c r="AD12" s="15" t="b">
        <f t="shared" si="4"/>
        <v>0</v>
      </c>
    </row>
    <row r="13" spans="1:30" x14ac:dyDescent="0.25">
      <c r="A13" s="3" t="s">
        <v>0</v>
      </c>
      <c r="B13" s="3" t="s">
        <v>0</v>
      </c>
      <c r="C13" s="3" t="s">
        <v>8</v>
      </c>
      <c r="D13" s="3" t="s">
        <v>0</v>
      </c>
      <c r="E13" s="3" t="s">
        <v>9</v>
      </c>
      <c r="F13" s="3" t="s">
        <v>3</v>
      </c>
      <c r="G13" s="3" t="s">
        <v>3</v>
      </c>
      <c r="H13" s="11">
        <v>15</v>
      </c>
      <c r="I13" s="8">
        <f>I7</f>
        <v>0.62068965517241381</v>
      </c>
      <c r="J13" s="9">
        <f>J7</f>
        <v>0.5714285714285714</v>
      </c>
      <c r="K13" s="8">
        <f>COUNTIFS(LSURF,'DATA  TRAINING'!$B$6,DECISION,'DATA  TRAINING'!$I$2)/'PERHITUNGAN MANUAL'!$F$1</f>
        <v>0.46551724137931033</v>
      </c>
      <c r="L13" s="9">
        <f>L7</f>
        <v>0.52380952380952384</v>
      </c>
      <c r="M13" s="8">
        <f>COUNTIFS(LO,'DATA  TRAINING'!$C$5,DECISION,'DATA  TRAINING'!$I$2)/'PERHITUNGAN MANUAL'!$F$1</f>
        <v>0.51724137931034486</v>
      </c>
      <c r="N13" s="9">
        <f>COUNTIFS(LO,'DATA  TRAINING'!$C$5,DECISION,'DATA  TRAINING'!$I$2)/'PERHITUNGAN MANUAL'!$F$1</f>
        <v>0.51724137931034486</v>
      </c>
      <c r="O13" s="20">
        <f>O7</f>
        <v>0.55172413793103448</v>
      </c>
      <c r="P13" s="9">
        <f>P7</f>
        <v>0.7142857142857143</v>
      </c>
      <c r="Q13" s="8">
        <f>Q9</f>
        <v>0.48275862068965519</v>
      </c>
      <c r="R13" s="9">
        <f>R9</f>
        <v>0.47619047619047616</v>
      </c>
      <c r="S13" s="8">
        <f>S7</f>
        <v>0.93103448275862066</v>
      </c>
      <c r="T13" s="9">
        <f>T7</f>
        <v>0.8571428571428571</v>
      </c>
      <c r="U13" s="8">
        <f>U7</f>
        <v>0.44827586206896552</v>
      </c>
      <c r="V13" s="9">
        <f>V7</f>
        <v>0.5714285714285714</v>
      </c>
      <c r="W13" s="8">
        <f>W7</f>
        <v>0.17241379310344829</v>
      </c>
      <c r="X13" s="9">
        <f>X7</f>
        <v>0.19047619047619047</v>
      </c>
      <c r="Y13" s="10">
        <f t="shared" si="1"/>
        <v>2.103001540757089E-3</v>
      </c>
      <c r="Z13" s="42">
        <f t="shared" si="2"/>
        <v>1.3059583731185325E-3</v>
      </c>
      <c r="AA13" s="12">
        <f t="shared" si="3"/>
        <v>2.103001540757089E-3</v>
      </c>
      <c r="AB13" s="13" t="s">
        <v>4</v>
      </c>
      <c r="AC13" s="21" t="s">
        <v>4</v>
      </c>
      <c r="AD13" s="16" t="b">
        <f t="shared" si="4"/>
        <v>1</v>
      </c>
    </row>
    <row r="14" spans="1:30" x14ac:dyDescent="0.25">
      <c r="A14" s="3" t="s">
        <v>0</v>
      </c>
      <c r="B14" s="3" t="s">
        <v>0</v>
      </c>
      <c r="C14" s="3" t="s">
        <v>2</v>
      </c>
      <c r="D14" s="3" t="s">
        <v>0</v>
      </c>
      <c r="E14" s="3" t="s">
        <v>9</v>
      </c>
      <c r="F14" s="3" t="s">
        <v>3</v>
      </c>
      <c r="G14" s="3" t="s">
        <v>3</v>
      </c>
      <c r="H14" s="11">
        <v>10</v>
      </c>
      <c r="I14" s="8">
        <f>I7</f>
        <v>0.62068965517241381</v>
      </c>
      <c r="J14" s="9">
        <f>J7</f>
        <v>0.5714285714285714</v>
      </c>
      <c r="K14" s="8">
        <f>COUNTIFS(LSURF,'DATA  TRAINING'!$B$6,DECISION,'DATA  TRAINING'!$I$2)/'PERHITUNGAN MANUAL'!$F$1</f>
        <v>0.46551724137931033</v>
      </c>
      <c r="L14" s="9">
        <f>L7</f>
        <v>0.52380952380952384</v>
      </c>
      <c r="M14" s="8">
        <f>M7</f>
        <v>0.46551724137931033</v>
      </c>
      <c r="N14" s="9">
        <f>N7</f>
        <v>0.42857142857142855</v>
      </c>
      <c r="O14" s="20">
        <f>O7</f>
        <v>0.55172413793103448</v>
      </c>
      <c r="P14" s="9">
        <f>P7</f>
        <v>0.7142857142857143</v>
      </c>
      <c r="Q14" s="8">
        <f>Q9</f>
        <v>0.48275862068965519</v>
      </c>
      <c r="R14" s="9">
        <f>R9</f>
        <v>0.47619047619047616</v>
      </c>
      <c r="S14" s="8">
        <f>S7</f>
        <v>0.93103448275862066</v>
      </c>
      <c r="T14" s="9">
        <f>T7</f>
        <v>0.8571428571428571</v>
      </c>
      <c r="U14" s="8">
        <f>U7</f>
        <v>0.44827586206896552</v>
      </c>
      <c r="V14" s="9">
        <f>V7</f>
        <v>0.5714285714285714</v>
      </c>
      <c r="W14" s="8">
        <f>W8</f>
        <v>0.77586206896551724</v>
      </c>
      <c r="X14" s="9">
        <f>X8</f>
        <v>0.7142857142857143</v>
      </c>
      <c r="Y14" s="10">
        <f t="shared" si="1"/>
        <v>8.5171562400662097E-3</v>
      </c>
      <c r="Z14" s="42">
        <f t="shared" si="2"/>
        <v>4.0577992307611549E-3</v>
      </c>
      <c r="AA14" s="12">
        <f t="shared" si="3"/>
        <v>8.5171562400662097E-3</v>
      </c>
      <c r="AB14" s="13" t="s">
        <v>4</v>
      </c>
      <c r="AC14" s="21" t="s">
        <v>4</v>
      </c>
      <c r="AD14" s="16" t="b">
        <f t="shared" si="4"/>
        <v>1</v>
      </c>
    </row>
    <row r="15" spans="1:30" x14ac:dyDescent="0.25">
      <c r="A15" s="3" t="s">
        <v>0</v>
      </c>
      <c r="B15" s="3" t="s">
        <v>0</v>
      </c>
      <c r="C15" s="3" t="s">
        <v>8</v>
      </c>
      <c r="D15" s="3" t="s">
        <v>0</v>
      </c>
      <c r="E15" s="3" t="s">
        <v>9</v>
      </c>
      <c r="F15" s="3" t="s">
        <v>3</v>
      </c>
      <c r="G15" s="3" t="s">
        <v>3</v>
      </c>
      <c r="H15" s="11">
        <v>15</v>
      </c>
      <c r="I15" s="8">
        <f>I7</f>
        <v>0.62068965517241381</v>
      </c>
      <c r="J15" s="9">
        <f>J7</f>
        <v>0.5714285714285714</v>
      </c>
      <c r="K15" s="8">
        <f>COUNTIFS(LSURF,'DATA  TRAINING'!$B$6,DECISION,'DATA  TRAINING'!$I$2)/'PERHITUNGAN MANUAL'!$F$1</f>
        <v>0.46551724137931033</v>
      </c>
      <c r="L15" s="9">
        <f>L7</f>
        <v>0.52380952380952384</v>
      </c>
      <c r="M15" s="8">
        <f>M13</f>
        <v>0.51724137931034486</v>
      </c>
      <c r="N15" s="9">
        <f>N13</f>
        <v>0.51724137931034486</v>
      </c>
      <c r="O15" s="20">
        <f>O7</f>
        <v>0.55172413793103448</v>
      </c>
      <c r="P15" s="9">
        <f>P7</f>
        <v>0.7142857142857143</v>
      </c>
      <c r="Q15" s="8">
        <f>Q9</f>
        <v>0.48275862068965519</v>
      </c>
      <c r="R15" s="9">
        <f>R9</f>
        <v>0.47619047619047616</v>
      </c>
      <c r="S15" s="8">
        <f>S7</f>
        <v>0.93103448275862066</v>
      </c>
      <c r="T15" s="9">
        <f>T7</f>
        <v>0.8571428571428571</v>
      </c>
      <c r="U15" s="8">
        <f>U7</f>
        <v>0.44827586206896552</v>
      </c>
      <c r="V15" s="9">
        <f>V7</f>
        <v>0.5714285714285714</v>
      </c>
      <c r="W15" s="8">
        <f>W7</f>
        <v>0.17241379310344829</v>
      </c>
      <c r="X15" s="9">
        <f>X7</f>
        <v>0.19047619047619047</v>
      </c>
      <c r="Y15" s="10">
        <f t="shared" si="1"/>
        <v>2.103001540757089E-3</v>
      </c>
      <c r="Z15" s="42">
        <f t="shared" si="2"/>
        <v>1.3059583731185325E-3</v>
      </c>
      <c r="AA15" s="12">
        <f t="shared" si="3"/>
        <v>2.103001540757089E-3</v>
      </c>
      <c r="AB15" s="13" t="s">
        <v>4</v>
      </c>
      <c r="AC15" s="21" t="s">
        <v>6</v>
      </c>
      <c r="AD15" s="15" t="b">
        <f>IF(AB15=AC15,TRUE,FALSE)</f>
        <v>0</v>
      </c>
    </row>
    <row r="16" spans="1:30" hidden="1" x14ac:dyDescent="0.25">
      <c r="I16" s="40"/>
      <c r="J16" s="41"/>
      <c r="Y16" s="38"/>
      <c r="AA16" s="37"/>
      <c r="AC16" s="39"/>
    </row>
    <row r="18" spans="1:10" x14ac:dyDescent="0.25">
      <c r="A18" s="1" t="s">
        <v>44</v>
      </c>
    </row>
    <row r="19" spans="1:10" x14ac:dyDescent="0.25">
      <c r="A19" s="19" t="s">
        <v>46</v>
      </c>
      <c r="B19" s="19"/>
      <c r="C19" s="19"/>
      <c r="D19" s="19"/>
      <c r="E19" s="19"/>
      <c r="F19" s="19"/>
      <c r="G19" s="19"/>
      <c r="H19" s="19"/>
      <c r="I19" s="19"/>
      <c r="J19" s="19"/>
    </row>
    <row r="20" spans="1:10" x14ac:dyDescent="0.25">
      <c r="A20" s="19" t="s">
        <v>45</v>
      </c>
      <c r="B20" s="19"/>
      <c r="C20" s="19"/>
      <c r="D20" s="44">
        <f>COUNTIF(AKURASI,AD7)/COUNTA(AKURASI)</f>
        <v>0.55555555555555558</v>
      </c>
    </row>
    <row r="22" spans="1:10" x14ac:dyDescent="0.25">
      <c r="A22" s="1" t="s">
        <v>63</v>
      </c>
    </row>
    <row r="23" spans="1:10" x14ac:dyDescent="0.25">
      <c r="A23" s="45" t="s">
        <v>69</v>
      </c>
      <c r="B23" s="45" t="s">
        <v>64</v>
      </c>
      <c r="C23" s="46" t="s">
        <v>65</v>
      </c>
      <c r="D23" s="46"/>
      <c r="E23" s="46"/>
      <c r="F23" s="46"/>
      <c r="G23" s="46"/>
      <c r="H23" s="46"/>
      <c r="I23" s="46"/>
      <c r="J23" s="46"/>
    </row>
    <row r="24" spans="1:10" x14ac:dyDescent="0.25">
      <c r="A24" s="11">
        <v>1</v>
      </c>
      <c r="B24" s="47"/>
      <c r="C24" s="48" t="s">
        <v>66</v>
      </c>
      <c r="D24" s="48"/>
      <c r="E24" s="48"/>
      <c r="F24" s="48"/>
      <c r="G24" s="48"/>
      <c r="H24" s="48"/>
      <c r="I24" s="48"/>
      <c r="J24" s="48"/>
    </row>
    <row r="25" spans="1:10" x14ac:dyDescent="0.25">
      <c r="A25" s="11">
        <v>2</v>
      </c>
      <c r="B25" s="49"/>
      <c r="C25" s="48" t="s">
        <v>67</v>
      </c>
      <c r="D25" s="48"/>
      <c r="E25" s="48"/>
      <c r="F25" s="48"/>
      <c r="G25" s="48"/>
      <c r="H25" s="48"/>
      <c r="I25" s="48"/>
      <c r="J25" s="48"/>
    </row>
    <row r="26" spans="1:10" x14ac:dyDescent="0.25">
      <c r="A26" s="11">
        <v>3</v>
      </c>
      <c r="B26" s="50"/>
      <c r="C26" s="48" t="s">
        <v>68</v>
      </c>
      <c r="D26" s="48"/>
      <c r="E26" s="48"/>
      <c r="F26" s="48"/>
      <c r="G26" s="48"/>
      <c r="H26" s="48"/>
      <c r="I26" s="48"/>
      <c r="J26" s="48"/>
    </row>
    <row r="27" spans="1:10" x14ac:dyDescent="0.25">
      <c r="A27" s="11">
        <v>4</v>
      </c>
      <c r="B27" s="51"/>
      <c r="C27" s="48" t="s">
        <v>80</v>
      </c>
      <c r="D27" s="48"/>
      <c r="E27" s="48"/>
      <c r="F27" s="48"/>
      <c r="G27" s="48"/>
      <c r="H27" s="48"/>
      <c r="I27" s="48"/>
      <c r="J27" s="48"/>
    </row>
    <row r="28" spans="1:10" x14ac:dyDescent="0.25">
      <c r="A28" s="11">
        <v>5</v>
      </c>
      <c r="B28" s="9"/>
      <c r="C28" s="48" t="s">
        <v>81</v>
      </c>
      <c r="D28" s="48"/>
      <c r="E28" s="48"/>
      <c r="F28" s="48"/>
      <c r="G28" s="48"/>
      <c r="H28" s="48"/>
      <c r="I28" s="48"/>
      <c r="J28" s="48"/>
    </row>
    <row r="29" spans="1:10" x14ac:dyDescent="0.25">
      <c r="A29" s="11">
        <v>6</v>
      </c>
      <c r="B29" s="52"/>
      <c r="C29" s="48" t="s">
        <v>70</v>
      </c>
      <c r="D29" s="48"/>
      <c r="E29" s="48"/>
      <c r="F29" s="48"/>
      <c r="G29" s="48"/>
      <c r="H29" s="48"/>
      <c r="I29" s="48"/>
      <c r="J29" s="48"/>
    </row>
    <row r="30" spans="1:10" x14ac:dyDescent="0.25">
      <c r="A30" s="11">
        <v>7</v>
      </c>
      <c r="B30" s="53"/>
      <c r="C30" s="48" t="s">
        <v>73</v>
      </c>
      <c r="D30" s="48"/>
      <c r="E30" s="48"/>
      <c r="F30" s="48"/>
      <c r="G30" s="48"/>
      <c r="H30" s="48"/>
      <c r="I30" s="48"/>
      <c r="J30" s="48"/>
    </row>
    <row r="31" spans="1:10" x14ac:dyDescent="0.25">
      <c r="A31" s="11">
        <v>8</v>
      </c>
      <c r="B31" s="54"/>
      <c r="C31" s="48" t="s">
        <v>82</v>
      </c>
      <c r="D31" s="48"/>
      <c r="E31" s="48"/>
      <c r="F31" s="48"/>
      <c r="G31" s="48"/>
      <c r="H31" s="48"/>
      <c r="I31" s="48"/>
      <c r="J31" s="48"/>
    </row>
    <row r="32" spans="1:10" x14ac:dyDescent="0.25">
      <c r="A32" s="11">
        <v>9</v>
      </c>
      <c r="B32" s="55"/>
      <c r="C32" s="48" t="s">
        <v>74</v>
      </c>
      <c r="D32" s="48"/>
      <c r="E32" s="48"/>
      <c r="F32" s="48"/>
      <c r="G32" s="48"/>
      <c r="H32" s="48"/>
      <c r="I32" s="48"/>
      <c r="J32" s="48"/>
    </row>
    <row r="33" spans="1:11" x14ac:dyDescent="0.25">
      <c r="A33" s="11">
        <v>10</v>
      </c>
      <c r="B33" s="56"/>
      <c r="C33" s="48" t="s">
        <v>75</v>
      </c>
      <c r="D33" s="48"/>
      <c r="E33" s="48"/>
      <c r="F33" s="48"/>
      <c r="G33" s="48"/>
      <c r="H33" s="48"/>
      <c r="I33" s="48"/>
      <c r="J33" s="48"/>
      <c r="K33" s="24"/>
    </row>
    <row r="34" spans="1:11" x14ac:dyDescent="0.25">
      <c r="A34" s="11">
        <v>11</v>
      </c>
      <c r="B34" s="57"/>
      <c r="C34" s="48" t="s">
        <v>76</v>
      </c>
      <c r="D34" s="48"/>
      <c r="E34" s="48"/>
      <c r="F34" s="48"/>
      <c r="G34" s="48"/>
      <c r="H34" s="48"/>
      <c r="I34" s="48"/>
      <c r="J34" s="48"/>
    </row>
    <row r="35" spans="1:11" x14ac:dyDescent="0.25">
      <c r="A35" s="11">
        <v>12</v>
      </c>
      <c r="B35" s="58"/>
      <c r="C35" s="48" t="s">
        <v>77</v>
      </c>
      <c r="D35" s="48"/>
      <c r="E35" s="48"/>
      <c r="F35" s="48"/>
      <c r="G35" s="48"/>
      <c r="H35" s="48"/>
      <c r="I35" s="48"/>
      <c r="J35" s="48"/>
    </row>
    <row r="36" spans="1:11" x14ac:dyDescent="0.25">
      <c r="A36" s="11">
        <v>13</v>
      </c>
      <c r="B36" s="59"/>
      <c r="C36" s="48" t="s">
        <v>78</v>
      </c>
      <c r="D36" s="48"/>
      <c r="E36" s="48"/>
      <c r="F36" s="48"/>
      <c r="G36" s="48"/>
      <c r="H36" s="48"/>
      <c r="I36" s="48"/>
      <c r="J36" s="48"/>
    </row>
    <row r="37" spans="1:11" x14ac:dyDescent="0.25">
      <c r="A37" s="11">
        <v>14</v>
      </c>
      <c r="B37" s="3"/>
      <c r="C37" s="48" t="s">
        <v>79</v>
      </c>
      <c r="D37" s="48"/>
      <c r="E37" s="48"/>
      <c r="F37" s="48"/>
      <c r="G37" s="48"/>
      <c r="H37" s="48"/>
      <c r="I37" s="48"/>
      <c r="J37" s="48"/>
    </row>
  </sheetData>
  <mergeCells count="20">
    <mergeCell ref="C34:J34"/>
    <mergeCell ref="C35:J35"/>
    <mergeCell ref="C36:J36"/>
    <mergeCell ref="C37:J37"/>
    <mergeCell ref="C23:J23"/>
    <mergeCell ref="C33:J3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A1:B1"/>
    <mergeCell ref="A2:B2"/>
    <mergeCell ref="AA6:AB6"/>
    <mergeCell ref="A19:J19"/>
    <mergeCell ref="A20:C20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DATA  TRAINING</vt:lpstr>
      <vt:lpstr>DATA TESTING</vt:lpstr>
      <vt:lpstr>PERHITUNGAN MANUAL</vt:lpstr>
      <vt:lpstr>AKURASI</vt:lpstr>
      <vt:lpstr>BP_STBL</vt:lpstr>
      <vt:lpstr>COMFORT</vt:lpstr>
      <vt:lpstr>CORE_STBL</vt:lpstr>
      <vt:lpstr>DECISION</vt:lpstr>
      <vt:lpstr>LBP</vt:lpstr>
      <vt:lpstr>LCORE</vt:lpstr>
      <vt:lpstr>LO</vt:lpstr>
      <vt:lpstr>LSURF</vt:lpstr>
      <vt:lpstr>'DATA  TRAINING'!post_operative__1</vt:lpstr>
      <vt:lpstr>SURF_STBL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2021-06-14T14:19:27Z</dcterms:created>
  <dcterms:modified xsi:type="dcterms:W3CDTF">2021-06-15T01:06:57Z</dcterms:modified>
</cp:coreProperties>
</file>